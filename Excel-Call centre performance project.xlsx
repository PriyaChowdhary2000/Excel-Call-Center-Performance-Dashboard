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krish\Downloads\4-hour-course-xl-files\"/>
    </mc:Choice>
  </mc:AlternateContent>
  <xr:revisionPtr revIDLastSave="0" documentId="13_ncr:1_{EFD2F6B2-F12B-4C3E-B9E7-73F5F809847A}" xr6:coauthVersionLast="47" xr6:coauthVersionMax="47" xr10:uidLastSave="{00000000-0000-0000-0000-000000000000}"/>
  <bookViews>
    <workbookView xWindow="-108" yWindow="-108" windowWidth="23256" windowHeight="12456" activeTab="2" xr2:uid="{26D4546B-D2A1-4444-8EAF-A6228F96F0C1}"/>
  </bookViews>
  <sheets>
    <sheet name="pivots" sheetId="6" r:id="rId1"/>
    <sheet name="Data" sheetId="2" r:id="rId2"/>
    <sheet name="Customer Centre Report"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5" r:id="rId8"/>
    <pivotCache cacheId="59" r:id="rId9"/>
    <pivotCache cacheId="62" r:id="rId10"/>
    <pivotCache cacheId="65" r:id="rId11"/>
    <pivotCache cacheId="68" r:id="rId12"/>
    <pivotCache cacheId="71"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9" i="5" l="1" a="1"/>
  <c r="O19" i="5" s="1"/>
  <c r="N20" i="5" a="1"/>
  <c r="N20" i="5" s="1"/>
  <c r="H75" i="6"/>
  <c r="H84" i="6" s="1"/>
  <c r="K33" i="5" s="1"/>
  <c r="H77" i="6"/>
  <c r="H81" i="6" s="1"/>
  <c r="H86" i="6" s="1"/>
  <c r="K35" i="5" s="1"/>
  <c r="H76" i="6"/>
  <c r="H80" i="6" s="1"/>
  <c r="H85" i="6" s="1"/>
  <c r="K34" i="5" s="1"/>
  <c r="J61" i="6"/>
  <c r="F63" i="6" a="1"/>
  <c r="F63"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65" i="6" l="1"/>
  <c r="I64" i="6"/>
  <c r="J63" i="6"/>
  <c r="J67" i="6"/>
  <c r="J66" i="6"/>
  <c r="J65" i="6"/>
  <c r="J64" i="6"/>
  <c r="I66" i="6"/>
  <c r="I63" i="6"/>
  <c r="I6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EB28D9-F5B5-49E3-AADB-3394151D42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836950B-025B-4D1B-BE61-9C8D85BC02C4}"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BDACCF10-73DD-4BBE-B053-874CE7A992CD}"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<sst xmlns="http://schemas.openxmlformats.org/spreadsheetml/2006/main" count="3171" uniqueCount="1084">
  <si>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</si>
  <si>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</si>
  <si>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</si>
  <si>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</si>
  <si>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</si>
  <si>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</si>
  <si>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</si>
  <si>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</si>
  <si>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</si>
  <si>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</si>
  <si>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</si>
  <si>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</si>
  <si>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</si>
  <si>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</si>
  <si>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</si>
  <si>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</si>
  <si>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</si>
  <si>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</si>
  <si>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</si>
  <si>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</si>
  <si>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</si>
  <si>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</si>
  <si>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</si>
  <si>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</si>
  <si>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</si>
  <si>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</si>
  <si>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</si>
  <si>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</si>
  <si>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</si>
  <si>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</si>
  <si>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</si>
  <si>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</si>
  <si>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</si>
  <si>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</si>
  <si>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</si>
  <si>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</si>
  <si>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</si>
  <si>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</si>
  <si>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</si>
  <si>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</si>
  <si>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</si>
  <si>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</si>
  <si>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</si>
  <si>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</si>
  <si>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</si>
  <si>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</si>
  <si>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</si>
  <si>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</si>
  <si>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</si>
  <si>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</si>
  <si>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</si>
  <si>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</si>
  <si>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</si>
  <si>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</si>
  <si>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</si>
  <si>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</si>
  <si>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</si>
  <si>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</si>
  <si>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</si>
  <si>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</si>
  <si>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</si>
  <si>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</si>
  <si>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</si>
  <si>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</si>
  <si>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</si>
  <si>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</si>
  <si>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</si>
  <si>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</si>
  <si>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</si>
  <si>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</si>
  <si>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</si>
  <si>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</si>
  <si>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</si>
  <si>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</si>
  <si>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</si>
  <si>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</si>
  <si>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</si>
  <si>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</si>
  <si>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</si>
  <si>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</si>
  <si>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</si>
  <si>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</si>
  <si>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</si>
  <si>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</si>
  <si>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</si>
  <si>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</si>
  <si>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</si>
  <si>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</si>
  <si>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</si>
  <si>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</si>
  <si>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</si>
  <si>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</si>
  <si>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</si>
  <si>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</si>
  <si>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</si>
  <si>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</si>
  <si>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</si>
  <si>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</si>
  <si>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</si>
  <si>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</si>
  <si>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</si>
  <si>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</si>
  <si>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</si>
  <si>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</si>
  <si>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</si>
  <si>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</si>
  <si>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</si>
  <si>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</si>
  <si>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</si>
  <si>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</si>
  <si>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</si>
  <si>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</si>
  <si>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</si>
  <si>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</si>
  <si>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</si>
  <si>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</si>
  <si>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</si>
  <si>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</si>
  <si>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</si>
  <si>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</si>
  <si>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</si>
  <si>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</si>
  <si>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</si>
  <si>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</si>
  <si>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</si>
  <si>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</si>
  <si>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</si>
  <si>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</si>
  <si>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</si>
  <si>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</si>
  <si>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</si>
  <si>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</si>
  <si>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</si>
  <si>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</si>
  <si>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</si>
  <si>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</si>
  <si>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</si>
  <si>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</si>
  <si>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</si>
  <si>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</si>
  <si>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</si>
  <si>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</si>
  <si>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</si>
  <si>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</si>
  <si>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</si>
  <si>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</si>
  <si>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</si>
  <si>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</si>
  <si>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</si>
  <si>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</si>
  <si>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</si>
  <si>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</si>
  <si>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</si>
  <si>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</si>
  <si>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</si>
  <si>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</si>
  <si>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</si>
  <si>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</si>
  <si>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</si>
  <si>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</si>
  <si>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</si>
  <si>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</si>
  <si>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</si>
  <si>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</si>
  <si>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</si>
  <si>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</si>
  <si>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</si>
  <si>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</si>
  <si>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</si>
  <si>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</si>
  <si>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</si>
  <si>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</si>
  <si>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</si>
  <si>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</si>
  <si>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</si>
  <si>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</si>
  <si>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</si>
  <si>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</si>
  <si>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</si>
  <si>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</si>
  <si>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</si>
  <si>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</si>
  <si>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</si>
  <si>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</si>
  <si>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</si>
  <si>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</si>
  <si>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</si>
  <si>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</si>
  <si>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</si>
  <si>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</si>
  <si>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</si>
  <si>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</si>
  <si>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</si>
  <si>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</si>
  <si>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</si>
  <si>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</si>
  <si>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</si>
  <si>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</si>
  <si>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</si>
  <si>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</si>
  <si>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</si>
  <si>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</si>
  <si>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</si>
  <si>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</si>
  <si>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</si>
  <si>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</si>
  <si>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</si>
  <si>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</si>
  <si>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</si>
  <si>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</si>
  <si>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</si>
  <si>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</si>
  <si>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</si>
  <si>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</si>
  <si>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</si>
  <si>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</si>
  <si>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</si>
  <si>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</si>
  <si>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</si>
  <si>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</si>
  <si>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</si>
  <si>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</si>
  <si>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</si>
  <si>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</si>
  <si>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</si>
  <si>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</si>
  <si>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</si>
  <si>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</si>
  <si>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</si>
  <si>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</si>
  <si>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</si>
  <si>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</si>
  <si>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</si>
  <si>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</si>
  <si>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</si>
  <si>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</si>
  <si>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</si>
  <si>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</si>
  <si>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</si>
  <si>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</si>
  <si>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</si>
  <si>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</si>
  <si>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</si>
  <si>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</si>
  <si>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</si>
  <si>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</si>
  <si>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</si>
  <si>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</si>
  <si>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</si>
  <si>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</si>
  <si>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</si>
  <si>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</si>
  <si>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</si>
  <si>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</si>
  <si>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</si>
  <si>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</si>
  <si>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</si>
  <si>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</si>
  <si>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</si>
  <si>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</si>
  <si>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</si>
  <si>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</si>
  <si>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</si>
  <si>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</si>
  <si>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</si>
  <si>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</si>
  <si>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</si>
  <si>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</si>
  <si>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</si>
  <si>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</si>
  <si>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</si>
  <si>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</si>
  <si>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</si>
  <si>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</si>
  <si>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</si>
  <si>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</si>
  <si>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</si>
  <si>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</si>
  <si>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</si>
  <si>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</si>
  <si>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</si>
  <si>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</si>
  <si>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</si>
  <si>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</si>
  <si>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</si>
  <si>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</si>
  <si>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</si>
  <si>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</si>
  <si>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</si>
  <si>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</si>
  <si>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</si>
  <si>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</si>
  <si>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</si>
  <si>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</si>
  <si>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</si>
  <si>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</si>
  <si>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</si>
  <si>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</si>
  <si>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</si>
  <si>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</si>
  <si>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</si>
  <si>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</si>
  <si>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</si>
  <si>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</si>
  <si>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</si>
  <si>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</si>
  <si>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</si>
  <si>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</si>
  <si>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</si>
  <si>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</si>
  <si>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</si>
  <si>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</si>
  <si>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</si>
  <si>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</si>
  <si>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</si>
  <si>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</si>
  <si>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</si>
  <si>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</si>
  <si>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</si>
  <si>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</si>
  <si>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</si>
  <si>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</si>
  <si>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</si>
  <si>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</si>
  <si>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</si>
  <si>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</si>
  <si>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</si>
  <si>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</si>
  <si>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</si>
  <si>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</si>
  <si>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</si>
  <si>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</si>
  <si>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</si>
  <si>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</si>
  <si>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</si>
  <si>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</si>
  <si>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</si>
  <si>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</si>
  <si>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</si>
  <si>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</si>
  <si>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</si>
  <si>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</si>
  <si>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</si>
  <si>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</si>
  <si>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</si>
  <si>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</si>
  <si>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</si>
  <si>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</si>
  <si>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</si>
  <si>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</si>
  <si>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</si>
  <si>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</si>
  <si>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</si>
  <si>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</si>
  <si>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</si>
  <si>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</si>
  <si>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</si>
  <si>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</si>
  <si>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</si>
  <si>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</si>
  <si>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</si>
  <si>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</si>
  <si>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</si>
  <si>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</si>
  <si>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</si>
  <si>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</si>
  <si>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</si>
  <si>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</si>
  <si>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</si>
  <si>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</si>
  <si>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</si>
  <si>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</si>
  <si>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</si>
  <si>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</si>
  <si>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</si>
  <si>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</si>
  <si>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</si>
  <si>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</si>
  <si>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</si>
  <si>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</si>
  <si>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</si>
  <si>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</si>
  <si>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</si>
  <si>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</si>
  <si>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</si>
  <si>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</si>
  <si>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</si>
  <si>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</si>
  <si>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</si>
  <si>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</si>
  <si>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</si>
  <si>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</si>
  <si>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</si>
  <si>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</si>
  <si>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</si>
  <si>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</si>
  <si>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</si>
  <si>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</si>
  <si>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</si>
  <si>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</si>
  <si>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</si>
  <si>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</si>
  <si>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</si>
  <si>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</si>
  <si>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</si>
  <si>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</si>
  <si>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</si>
  <si>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</si>
  <si>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</si>
  <si>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</si>
  <si>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</si>
  <si>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</si>
  <si>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</si>
  <si>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</si>
  <si>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</si>
  <si>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</si>
  <si>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</si>
  <si>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</si>
  <si>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</si>
  <si>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</si>
  <si>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</si>
  <si>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</si>
  <si>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</si>
  <si>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</si>
  <si>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</si>
  <si>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</si>
  <si>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</si>
  <si>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</si>
  <si>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</si>
  <si>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</si>
  <si>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</si>
  <si>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</si>
  <si>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</si>
  <si>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</si>
  <si>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</si>
  <si>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</si>
  <si>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</si>
  <si>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</si>
  <si>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</si>
  <si>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</si>
  <si>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</si>
  <si>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</si>
  <si>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</si>
  <si>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</si>
  <si>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</si>
  <si>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</si>
  <si>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</si>
  <si>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</si>
  <si>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</si>
  <si>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</si>
  <si>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</si>
  <si>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</si>
  <si>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</si>
  <si>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</si>
  <si>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</si>
  <si>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</si>
  <si>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</si>
  <si>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</si>
  <si>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</si>
  <si>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</si>
  <si>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</si>
  <si>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</si>
  <si>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</si>
  <si>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</si>
  <si>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</si>
  <si>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</si>
  <si>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</si>
  <si>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</si>
  <si>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</si>
  <si>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</si>
  <si>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</si>
  <si>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</si>
  <si>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</si>
  <si>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</si>
  <si>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</si>
  <si>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</si>
  <si>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</si>
  <si>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</si>
  <si>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</si>
  <si>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</si>
  <si>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</si>
  <si>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</si>
  <si>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</si>
  <si>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</si>
  <si>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</si>
  <si>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</si>
  <si>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</si>
  <si>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</si>
  <si>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</si>
  <si>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</si>
  <si>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</si>
  <si>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</si>
  <si>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</si>
  <si>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</si>
  <si>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</si>
  <si>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</si>
  <si>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</si>
  <si>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</si>
  <si>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</si>
  <si>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</si>
  <si>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</si>
  <si>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</si>
  <si>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</si>
  <si>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</si>
  <si>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</si>
  <si>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</si>
  <si>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</si>
  <si>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</si>
  <si>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</si>
  <si>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</si>
  <si>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</si>
  <si>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</si>
  <si>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</si>
  <si>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</si>
  <si>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</si>
  <si>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</si>
  <si>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</si>
  <si>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</si>
  <si>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</si>
  <si>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</si>
  <si>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</si>
  <si>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</si>
  <si>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</si>
  <si>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</si>
  <si>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</si>
  <si>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</si>
  <si>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</si>
  <si>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</si>
  <si>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</si>
  <si>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</si>
  <si>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</si>
  <si>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</si>
  <si>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</si>
  <si>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</si>
  <si>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</si>
  <si>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</si>
  <si>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</si>
  <si>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</si>
  <si>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</si>
  <si>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</si>
  <si>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</si>
  <si>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</si>
  <si>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</si>
  <si>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</si>
  <si>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</si>
  <si>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</si>
  <si>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</si>
  <si>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</si>
  <si>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</si>
  <si>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</si>
  <si>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</si>
  <si>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</si>
  <si>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</si>
  <si>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</si>
  <si>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</si>
  <si>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</si>
  <si>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</si>
  <si>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</si>
  <si>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</si>
  <si>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</si>
  <si>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</si>
  <si>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</si>
  <si>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</si>
  <si>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</si>
  <si>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</si>
  <si>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</si>
  <si>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</si>
  <si>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</si>
  <si>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</si>
  <si>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</si>
  <si>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</si>
  <si>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</si>
  <si>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</si>
  <si>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</si>
  <si>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</si>
  <si>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</si>
  <si>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</si>
  <si>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</si>
  <si>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</si>
  <si>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</si>
  <si>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</si>
  <si>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</si>
  <si>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</si>
  <si>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</si>
  <si>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</si>
  <si>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</si>
  <si>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</si>
  <si>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</si>
  <si>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</si>
  <si>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</si>
  <si>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</si>
  <si>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</si>
  <si>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</si>
  <si>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</si>
  <si>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</si>
  <si>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</si>
  <si>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</si>
  <si>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</si>
  <si>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</si>
  <si>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</si>
  <si>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</si>
  <si>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</si>
  <si>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</si>
  <si>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</si>
  <si>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</si>
  <si>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</si>
  <si>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</si>
  <si>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</si>
  <si>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</si>
  <si>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</si>
  <si>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</si>
  <si>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</si>
  <si>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</si>
  <si>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</si>
  <si>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</si>
  <si>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</si>
  <si>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</si>
  <si>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</si>
  <si>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</si>
  <si>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</si>
  <si>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</si>
  <si>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</si>
  <si>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</si>
  <si>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</si>
  <si>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</si>
  <si>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</si>
  <si>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</si>
  <si>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</si>
  <si>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</si>
  <si>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</si>
  <si>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</si>
  <si>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</si>
  <si>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</si>
  <si>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</si>
  <si>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</si>
  <si>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</si>
  <si>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</si>
  <si>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</si>
  <si>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</si>
  <si>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</si>
  <si>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</si>
  <si>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</si>
  <si>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</si>
  <si>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</si>
  <si>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</si>
  <si>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</si>
  <si>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</si>
  <si>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</si>
  <si>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</si>
  <si>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</si>
  <si>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</si>
  <si>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</si>
  <si>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</si>
  <si>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</si>
  <si>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</si>
  <si>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</si>
  <si>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</si>
  <si>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</si>
  <si>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</si>
  <si>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</si>
  <si>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</si>
  <si>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</si>
  <si>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</si>
  <si>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</si>
  <si>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</si>
  <si>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</si>
  <si>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</si>
  <si>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</si>
  <si>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</si>
  <si>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</si>
  <si>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</si>
  <si>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</si>
  <si>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</si>
  <si>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</si>
  <si>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</si>
  <si>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</si>
  <si>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</si>
  <si>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</si>
  <si>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</si>
  <si>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</si>
  <si>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</si>
  <si>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</si>
  <si>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</si>
  <si>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</si>
  <si>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</si>
  <si>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</si>
  <si>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</si>
  <si>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</si>
  <si>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</si>
  <si>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</si>
  <si>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</si>
  <si>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</si>
  <si>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</si>
  <si>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</si>
  <si>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</si>
  <si>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</si>
  <si>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</si>
  <si>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</si>
  <si>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</si>
  <si>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</si>
  <si>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</si>
  <si>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</si>
  <si>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</si>
  <si>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</si>
  <si>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</si>
  <si>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</si>
  <si>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</si>
  <si>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</si>
  <si>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</si>
  <si>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</si>
  <si>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</si>
  <si>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</si>
  <si>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</si>
  <si>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</si>
  <si>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</si>
  <si>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</si>
  <si>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</si>
  <si>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</si>
  <si>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</si>
  <si>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</si>
  <si>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</si>
  <si>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</si>
  <si>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</si>
  <si>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</si>
  <si>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</si>
  <si>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</si>
  <si>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</si>
  <si>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</si>
  <si>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</si>
  <si>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</si>
  <si>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</si>
  <si>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</si>
  <si>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</si>
  <si>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</si>
  <si>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</si>
  <si>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</si>
  <si>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</si>
  <si>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</si>
  <si>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</si>
  <si>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</si>
  <si>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</si>
  <si>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</si>
  <si>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</si>
  <si>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</si>
  <si>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</si>
  <si>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</si>
  <si>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</si>
  <si>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</si>
  <si>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</si>
  <si>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</si>
  <si>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</si>
  <si>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</si>
  <si>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</si>
  <si>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</si>
  <si>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</si>
  <si>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</si>
  <si>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</si>
  <si>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</si>
  <si>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</si>
  <si>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</si>
  <si>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</si>
  <si>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</si>
  <si>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</si>
  <si>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</si>
  <si>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</si>
  <si>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</si>
  <si>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</si>
  <si>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</si>
  <si>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</si>
  <si>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</si>
  <si>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</si>
  <si>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</si>
  <si>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</si>
  <si>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</si>
  <si>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</si>
  <si>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</si>
  <si>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</si>
  <si>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</si>
  <si>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</si>
  <si>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</si>
  <si>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</si>
  <si>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</si>
  <si>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</si>
  <si>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</si>
  <si>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</si>
  <si>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</si>
  <si>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</si>
  <si>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</si>
  <si>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</si>
  <si>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</si>
  <si>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</si>
  <si>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</si>
  <si>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</si>
  <si>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</si>
  <si>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</si>
  <si>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</si>
  <si>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</si>
  <si>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</si>
  <si>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</si>
  <si>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</si>
  <si>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</si>
  <si>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</si>
  <si>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</si>
  <si>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</si>
  <si>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</si>
  <si>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</si>
  <si>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</si>
  <si>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</si>
  <si>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</si>
  <si>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</si>
  <si>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</si>
  <si>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</si>
  <si>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</si>
  <si>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</si>
  <si>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</si>
  <si>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</si>
  <si>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</si>
  <si>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</si>
  <si>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</si>
  <si>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</si>
  <si>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</si>
  <si>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</si>
  <si>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</si>
  <si>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</si>
  <si>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</si>
  <si>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</si>
  <si>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</si>
  <si>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</si>
  <si>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</si>
  <si>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</si>
  <si>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</si>
  <si>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</si>
  <si>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</si>
  <si>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</si>
  <si>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</si>
  <si>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</si>
  <si>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</si>
  <si>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</si>
  <si>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</si>
  <si>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</si>
  <si>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</si>
  <si>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</si>
  <si>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</si>
  <si>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</si>
  <si>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</si>
  <si>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</si>
  <si>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</si>
  <si>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</si>
  <si>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</si>
  <si>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</si>
  <si>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</si>
  <si>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</si>
  <si>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</si>
  <si>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</si>
  <si>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</si>
  <si>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</si>
  <si>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</si>
  <si>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</si>
  <si>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</si>
  <si>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</si>
  <si>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</si>
  <si>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</si>
  <si>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</si>
  <si>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</si>
  <si>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</si>
  <si>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</si>
  <si>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</si>
  <si>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</si>
  <si>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</si>
  <si>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</si>
  <si>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</si>
  <si>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</si>
  <si>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</si>
  <si>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</si>
  <si>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</si>
  <si>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</si>
  <si>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</si>
  <si>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</si>
  <si>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</si>
  <si>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</si>
  <si>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</si>
  <si>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</si>
  <si>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</si>
  <si>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</si>
  <si>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</si>
  <si>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</si>
  <si>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</si>
  <si>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</si>
  <si>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</si>
  <si>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</si>
  <si>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</si>
  <si>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</si>
  <si>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</si>
  <si>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</si>
  <si>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</si>
  <si>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</si>
  <si>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</si>
  <si>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</si>
  <si>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</si>
  <si>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</si>
  <si>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</si>
  <si>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</si>
  <si>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</si>
  <si>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</si>
  <si>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</si>
  <si>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</si>
  <si>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</si>
  <si>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</si>
  <si>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</si>
  <si>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</si>
  <si>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</si>
  <si>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</si>
  <si>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</si>
  <si>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</si>
  <si>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</si>
  <si>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</si>
  <si>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</si>
  <si>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</si>
  <si>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</si>
  <si>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</si>
  <si>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</si>
  <si>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</si>
  <si>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</si>
  <si>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</si>
  <si>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</si>
  <si>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</si>
  <si>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</si>
  <si>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</si>
  <si>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</si>
  <si>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</si>
  <si>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</si>
  <si>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</si>
  <si>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</si>
  <si>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</si>
  <si>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</si>
  <si>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</si>
  <si>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</si>
  <si>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</si>
  <si>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</si>
  <si>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</si>
  <si>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</si>
  <si>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</si>
  <si>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</si>
  <si>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</si>
  <si>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</si>
  <si>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</si>
  <si>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</si>
  <si>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</si>
  <si>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</si>
  <si>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</si>
  <si>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</si>
  <si>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</si>
  <si>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</si>
  <si>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</si>
  <si>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</si>
  <si>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</si>
  <si>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</si>
  <si>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</si>
  <si>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</si>
  <si>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</si>
  <si>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</si>
  <si>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</si>
  <si>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</si>
  <si>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</si>
  <si>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</si>
  <si>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</si>
  <si>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</si>
  <si>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</si>
  <si>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</si>
  <si>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</si>
  <si>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</si>
  <si>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</si>
  <si>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</si>
  <si>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</si>
  <si>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</si>
  <si>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</si>
  <si>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</si>
  <si>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</si>
  <si>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</si>
  <si>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</si>
  <si>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</si>
  <si>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</si>
  <si>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</si>
  <si>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</si>
  <si>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</si>
  <si>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</si>
  <si>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</si>
  <si>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</si>
  <si>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</si>
  <si>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</si>
  <si>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</si>
  <si>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</si>
  <si>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</si>
  <si>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</si>
  <si>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</si>
  <si>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</si>
  <si>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</si>
  <si>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</si>
  <si>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</si>
  <si>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</si>
  <si>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</si>
  <si>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</si>
  <si>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</si>
  <si>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</si>
  <si>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</si>
  <si>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</si>
  <si>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</si>
  <si>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</si>
  <si>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</si>
  <si>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</si>
  <si>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</si>
  <si>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</si>
  <si>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</si>
  <si>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</si>
  <si>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</si>
  <si>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</si>
  <si>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</si>
  <si>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</si>
  <si>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</si>
  <si>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</si>
  <si>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</si>
  <si>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</si>
  <si>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</si>
  <si>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</si>
  <si>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</si>
  <si>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</si>
  <si>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</si>
  <si>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</si>
  <si>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</si>
  <si>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</si>
  <si>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</si>
  <si>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</si>
  <si>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</si>
  <si>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</si>
  <si>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</si>
  <si>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</si>
  <si>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</si>
  <si>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</si>
  <si>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</si>
  <si>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</si>
  <si>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</si>
  <si>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</si>
  <si>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</si>
  <si>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</si>
  <si>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Avg Rating</t>
  </si>
  <si>
    <t>5*Calls</t>
  </si>
  <si>
    <t>Sum of Duration</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</si>
  <si>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</si>
  <si>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</si>
  <si>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</si>
  <si>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</si>
  <si>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</si>
  <si>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</si>
  <si>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</si>
  <si>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</si>
  <si>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</si>
  <si>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</si>
  <si>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</si>
  <si>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</si>
  <si>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</si>
  <si>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</si>
  <si>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</si>
  <si>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</si>
  <si>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</si>
  <si>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</si>
  <si>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</si>
  <si>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</si>
  <si>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</si>
  <si>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</si>
  <si>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</si>
  <si>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</si>
  <si>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</si>
  <si>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</si>
  <si>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sel.calls</t>
  </si>
  <si>
    <t>sel.Amount</t>
  </si>
  <si>
    <t>selected rep</t>
  </si>
  <si>
    <t>Column Labels</t>
  </si>
  <si>
    <t>TOTAL</t>
  </si>
  <si>
    <t>Rep Summary</t>
  </si>
  <si>
    <t>%of calls</t>
  </si>
  <si>
    <t>call rank</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</si>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</sst>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409]d\-mmm\-yy;@"/>
    <numFmt numFmtId="165" formatCode="0.0"/>
    <numFmt numFmtId="166" formatCode="_-[$$-409]* #,##0.00_ ;_-[$$-409]* \-#,##0.00\ ;_-[$$-409]* &quot;-&quot;??_ ;_-@_ "/>
    <numFmt numFmtId="167" formatCode="_-[$$-409]* #,##0_ ;_-[$$-409]* \-#,##0\ ;_-[$$-409]* &quot;-&quot;_ ;_-@_ "/>
    <numFmt numFmtId="168" formatCode="\$#,##0;\-\$#,##0;\$#,##0"/>
    <numFmt numFmtId="169" formatCode="\$\ #,###.0,&quot;k&quot;"/>
    <numFmt numFmtId="170" formatCode="[$$-C09]#,##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sz val="10"/>
      <color theme="1"/>
      <name val="Aptos ExtraBold"/>
      <family val="2"/>
      <scheme val="major"/>
    </font>
    <font>
      <sz val="11"/>
      <color theme="1"/>
      <name val="Aptos"/>
      <family val="2"/>
      <scheme val="minor"/>
    </font>
    <font>
      <b/>
      <sz val="11"/>
      <name val="Aptos"/>
      <family val="2"/>
      <scheme val="minor"/>
    </font>
    <font>
      <sz val="11"/>
      <color theme="1"/>
      <name val="Aptos ExtraBold"/>
      <family val="2"/>
      <scheme val="maj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6" fillId="0" borderId="0" applyFont="0" applyFill="0" applyBorder="0" applyAlignment="0" applyProtection="0"/>
  </cellStyleXfs>
  <cellXfs count="5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167" fontId="0" fillId="0" borderId="0" xfId="0" applyNumberFormat="1"/>
    <xf numFmtId="0" fontId="0" fillId="0" borderId="0" xfId="0" applyAlignment="1">
      <alignment horizontal="left"/>
    </xf>
    <xf numFmtId="168" fontId="0" fillId="0" borderId="0" xfId="0" applyNumberFormat="1"/>
    <xf numFmtId="169" fontId="0" fillId="0" borderId="0" xfId="0" applyNumberFormat="1"/>
    <xf numFmtId="0" fontId="0" fillId="0" borderId="0" xfId="0" applyAlignment="1">
      <alignment horizontal="left" indent="1"/>
    </xf>
    <xf numFmtId="0" fontId="4" fillId="3" borderId="0" xfId="0" applyFont="1" applyFill="1"/>
    <xf numFmtId="9" fontId="0" fillId="0" borderId="0" xfId="1" applyFont="1"/>
    <xf numFmtId="170" fontId="5" fillId="4" borderId="10" xfId="0" applyNumberFormat="1" applyFont="1" applyFill="1" applyBorder="1" applyAlignment="1">
      <alignment horizontal="center"/>
    </xf>
    <xf numFmtId="170" fontId="5" fillId="4" borderId="11" xfId="0" applyNumberFormat="1" applyFont="1" applyFill="1" applyBorder="1" applyAlignment="1">
      <alignment horizontal="center"/>
    </xf>
    <xf numFmtId="0" fontId="8" fillId="4" borderId="12" xfId="0" applyFont="1" applyFill="1" applyBorder="1"/>
    <xf numFmtId="170" fontId="4" fillId="4" borderId="0" xfId="0" applyNumberFormat="1" applyFont="1" applyFill="1" applyAlignment="1">
      <alignment horizontal="center"/>
    </xf>
    <xf numFmtId="170" fontId="0" fillId="4" borderId="14" xfId="0" applyNumberFormat="1" applyFill="1" applyBorder="1" applyAlignment="1">
      <alignment horizontal="center"/>
    </xf>
    <xf numFmtId="0" fontId="0" fillId="4" borderId="13" xfId="0" applyFill="1" applyBorder="1" applyAlignment="1">
      <alignment horizontal="center"/>
    </xf>
    <xf numFmtId="170" fontId="0" fillId="4" borderId="0" xfId="0" applyNumberFormat="1" applyFill="1" applyAlignment="1">
      <alignment horizontal="center"/>
    </xf>
    <xf numFmtId="0" fontId="0" fillId="4" borderId="15" xfId="0" applyFill="1" applyBorder="1" applyAlignment="1">
      <alignment horizontal="center"/>
    </xf>
    <xf numFmtId="170" fontId="0" fillId="4" borderId="16" xfId="0" applyNumberFormat="1" applyFill="1" applyBorder="1" applyAlignment="1">
      <alignment horizontal="center"/>
    </xf>
    <xf numFmtId="170" fontId="0" fillId="4" borderId="17" xfId="0" applyNumberFormat="1" applyFill="1" applyBorder="1" applyAlignment="1">
      <alignment horizontal="center"/>
    </xf>
    <xf numFmtId="170" fontId="5" fillId="4" borderId="13" xfId="0" applyNumberFormat="1" applyFont="1" applyFill="1" applyBorder="1" applyAlignment="1">
      <alignment horizontal="center"/>
    </xf>
    <xf numFmtId="0" fontId="8" fillId="4" borderId="13" xfId="0" applyFont="1" applyFill="1" applyBorder="1" applyAlignment="1">
      <alignment horizontal="center"/>
    </xf>
    <xf numFmtId="0" fontId="0" fillId="4" borderId="15" xfId="0" applyFill="1" applyBorder="1"/>
    <xf numFmtId="0" fontId="0" fillId="4" borderId="17" xfId="0" applyFill="1" applyBorder="1"/>
    <xf numFmtId="0" fontId="7" fillId="4" borderId="10" xfId="0" applyFont="1" applyFill="1" applyBorder="1" applyAlignment="1">
      <alignment horizontal="center"/>
    </xf>
    <xf numFmtId="0" fontId="7" fillId="4" borderId="12" xfId="0" applyFont="1" applyFill="1" applyBorder="1" applyAlignment="1">
      <alignment horizontal="center"/>
    </xf>
    <xf numFmtId="0" fontId="7" fillId="4" borderId="13" xfId="0" applyFont="1" applyFill="1" applyBorder="1" applyAlignment="1">
      <alignment horizontal="center"/>
    </xf>
    <xf numFmtId="0" fontId="7" fillId="4" borderId="14" xfId="0" applyFont="1" applyFill="1" applyBorder="1" applyAlignment="1">
      <alignment horizontal="center"/>
    </xf>
    <xf numFmtId="0" fontId="0" fillId="0" borderId="0" xfId="0" applyNumberFormat="1"/>
    <xf numFmtId="0" fontId="0" fillId="0" borderId="0" xfId="0" applyFont="1" applyAlignment="1">
      <alignment horizontal="left"/>
    </xf>
  </cellXfs>
  <cellStyles count="2">
    <cellStyle name="Normal" xfId="0" builtinId="0"/>
    <cellStyle name="Percent" xfId="1" builtinId="5"/>
  </cellStyles>
  <dxfs count="40">
    <dxf>
      <font>
        <color theme="1"/>
      </font>
    </dxf>
    <dxf>
      <numFmt numFmtId="166" formatCode="_-[$$-409]* #,##0.00_ ;_-[$$-409]* \-#,##0.00\ ;_-[$$-409]* &quot;-&quot;??_ ;_-@_ "/>
    </dxf>
    <dxf>
      <numFmt numFmtId="166" formatCode="_-[$$-409]* #,##0.00_ ;_-[$$-409]* \-#,##0.00\ ;_-[$$-409]* &quot;-&quot;??_ ;_-@_ "/>
    </dxf>
    <dxf>
      <numFmt numFmtId="167" formatCode="_-[$$-409]* #,##0_ ;_-[$$-409]* \-#,##0\ ;_-[$$-409]* &quot;-&quot;_ ;_-@_ "/>
    </dxf>
    <dxf>
      <font>
        <color theme="1"/>
      </font>
    </dxf>
    <dxf>
      <numFmt numFmtId="166" formatCode="_-[$$-409]* #,##0.00_ ;_-[$$-409]* \-#,##0.00\ ;_-[$$-409]* &quot;-&quot;??_ ;_-@_ "/>
    </dxf>
    <dxf>
      <numFmt numFmtId="166" formatCode="_-[$$-409]* #,##0.00_ ;_-[$$-409]* \-#,##0.00\ ;_-[$$-409]* &quot;-&quot;??_ ;_-@_ "/>
    </dxf>
    <dxf>
      <numFmt numFmtId="167" formatCode="_-[$$-409]* #,##0_ ;_-[$$-409]* \-#,##0\ ;_-[$$-409]* &quot;-&quot;_ ;_-@_ "/>
    </dxf>
    <dxf>
      <font>
        <color theme="1"/>
      </font>
    </dxf>
    <dxf>
      <numFmt numFmtId="166" formatCode="_-[$$-409]* #,##0.00_ ;_-[$$-409]* \-#,##0.00\ ;_-[$$-409]* &quot;-&quot;??_ ;_-@_ "/>
    </dxf>
    <dxf>
      <numFmt numFmtId="166" formatCode="_-[$$-409]* #,##0.00_ ;_-[$$-409]* \-#,##0.00\ ;_-[$$-409]* &quot;-&quot;??_ ;_-@_ "/>
    </dxf>
    <dxf>
      <numFmt numFmtId="167" formatCode="_-[$$-409]* #,##0_ ;_-[$$-409]* \-#,##0\ ;_-[$$-409]* &quot;-&quot;_ ;_-@_ "/>
    </dxf>
    <dxf>
      <font>
        <color theme="1"/>
      </font>
    </dxf>
    <dxf>
      <numFmt numFmtId="166" formatCode="_-[$$-409]* #,##0.00_ ;_-[$$-409]* \-#,##0.00\ ;_-[$$-409]* &quot;-&quot;??_ ;_-@_ "/>
    </dxf>
    <dxf>
      <numFmt numFmtId="166" formatCode="_-[$$-409]* #,##0.00_ ;_-[$$-409]* \-#,##0.00\ ;_-[$$-409]* &quot;-&quot;??_ ;_-@_ "/>
    </dxf>
    <dxf>
      <numFmt numFmtId="167" formatCode="_-[$$-409]* #,##0_ ;_-[$$-409]* \-#,##0\ ;_-[$$-409]* &quot;-&quot;_ ;_-@_ "/>
    </dxf>
    <dxf>
      <fill>
        <patternFill>
          <bgColor theme="8" tint="0.39994506668294322"/>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color theme="1"/>
      </font>
    </dxf>
    <dxf>
      <numFmt numFmtId="166" formatCode="_-[$$-409]* #,##0.00_ ;_-[$$-409]* \-#,##0.00\ ;_-[$$-409]* &quot;-&quot;??_ ;_-@_ "/>
    </dxf>
    <dxf>
      <numFmt numFmtId="166" formatCode="_-[$$-409]* #,##0.00_ ;_-[$$-409]* \-#,##0.00\ ;_-[$$-409]* &quot;-&quot;??_ ;_-@_ "/>
    </dxf>
    <dxf>
      <numFmt numFmtId="167" formatCode="_-[$$-409]* #,##0_ ;_-[$$-409]* \-#,##0\ ;_-[$$-409]* &quot;-&quot;_ ;_-@_ "/>
    </dxf>
    <dxf>
      <numFmt numFmtId="166" formatCode="_-[$$-409]* #,##0.00_ ;_-[$$-409]* \-#,##0.00\ ;_-[$$-409]* &quot;-&quot;??_ ;_-@_ "/>
    </dxf>
    <dxf>
      <numFmt numFmtId="166" formatCode="_-[$$-409]* #,##0.00_ ;_-[$$-409]* \-#,##0.00\ ;_-[$$-409]* &quot;-&quot;??_ ;_-@_ "/>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39"/>
    </tableStyle>
    <tableStyle name="SlicerStyleLight5 2" pivot="0" table="0" count="10" xr9:uid="{16E244A5-3623-4CBB-8232-E3E72FB1168F}">
      <tableStyleElement type="wholeTable" dxfId="38"/>
      <tableStyleElement type="headerRow" dxfId="3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b/>
            <i val="0"/>
            <color rgb="FF000000"/>
            <name val="Aptos ExtraBold"/>
            <family val="2"/>
            <scheme val="major"/>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 Id="rId30"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accent6"/>
                </a:solidFill>
                <a:latin typeface="+mj-lt"/>
                <a:ea typeface="+mn-ea"/>
                <a:cs typeface="+mn-cs"/>
              </a:defRPr>
            </a:pPr>
            <a:r>
              <a:rPr lang="en-IN" sz="1600">
                <a:solidFill>
                  <a:schemeClr val="accent6"/>
                </a:solidFill>
                <a:latin typeface="+mj-lt"/>
              </a:rPr>
              <a:t>Amount</a:t>
            </a:r>
          </a:p>
        </c:rich>
      </c:tx>
      <c:layout>
        <c:manualLayout>
          <c:xMode val="edge"/>
          <c:yMode val="edge"/>
          <c:x val="0.14266450916936355"/>
          <c:y val="3.454231433506044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pivots!$F$63:$F$67</c:f>
              <c:strCache>
                <c:ptCount val="5"/>
                <c:pt idx="0">
                  <c:v>R01</c:v>
                </c:pt>
                <c:pt idx="1">
                  <c:v>R02</c:v>
                </c:pt>
                <c:pt idx="2">
                  <c:v>R03</c:v>
                </c:pt>
                <c:pt idx="3">
                  <c:v>R04</c:v>
                </c:pt>
                <c:pt idx="4">
                  <c:v>R05</c:v>
                </c:pt>
              </c:strCache>
            </c:strRef>
          </c:cat>
          <c:val>
            <c:numRef>
              <c:f>pivots!$H$63:$H$67</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EB0F-4B2A-8CE0-CB9892ACC22F}"/>
            </c:ext>
          </c:extLst>
        </c:ser>
        <c:ser>
          <c:idx val="1"/>
          <c:order val="1"/>
          <c:tx>
            <c:strRef>
              <c:f>pivots!$J$62</c:f>
              <c:strCache>
                <c:ptCount val="1"/>
                <c:pt idx="0">
                  <c:v>sel.Amount</c:v>
                </c:pt>
              </c:strCache>
            </c:strRef>
          </c:tx>
          <c:spPr>
            <a:gradFill>
              <a:gsLst>
                <a:gs pos="0">
                  <a:schemeClr val="accent6">
                    <a:lumMod val="60000"/>
                    <a:lumOff val="40000"/>
                  </a:schemeClr>
                </a:gs>
                <a:gs pos="100000">
                  <a:schemeClr val="accent6"/>
                </a:gs>
              </a:gsLst>
              <a:path path="circle">
                <a:fillToRect l="50000" t="-80000" r="50000" b="180000"/>
              </a:path>
            </a:gradFill>
            <a:ln>
              <a:noFill/>
            </a:ln>
            <a:effectLst/>
          </c:spPr>
          <c:invertIfNegative val="0"/>
          <c:val>
            <c:numRef>
              <c:f>pivots!$J$63:$J$67</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EB0F-4B2A-8CE0-CB9892ACC22F}"/>
            </c:ext>
          </c:extLst>
        </c:ser>
        <c:dLbls>
          <c:showLegendKey val="0"/>
          <c:showVal val="0"/>
          <c:showCatName val="0"/>
          <c:showSerName val="0"/>
          <c:showPercent val="0"/>
          <c:showBubbleSize val="0"/>
        </c:dLbls>
        <c:gapWidth val="25"/>
        <c:overlap val="100"/>
        <c:axId val="132653456"/>
        <c:axId val="132646256"/>
      </c:barChart>
      <c:catAx>
        <c:axId val="13265345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crossAx val="132646256"/>
        <c:crosses val="autoZero"/>
        <c:auto val="1"/>
        <c:lblAlgn val="ctr"/>
        <c:lblOffset val="100"/>
        <c:noMultiLvlLbl val="0"/>
      </c:catAx>
      <c:valAx>
        <c:axId val="132646256"/>
        <c:scaling>
          <c:orientation val="minMax"/>
        </c:scaling>
        <c:delete val="1"/>
        <c:axPos val="t"/>
        <c:numFmt formatCode="\$\ #,###.0,&quot;k&quot;" sourceLinked="1"/>
        <c:majorTickMark val="out"/>
        <c:minorTickMark val="none"/>
        <c:tickLblPos val="nextTo"/>
        <c:crossAx val="13265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[07.sample-data-excel-portfolio-project.xlsx]pivots!weekday trend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5"/>
                </a:solidFill>
                <a:latin typeface="+mj-lt"/>
              </a:rPr>
              <a:t>Daily</a:t>
            </a:r>
            <a:r>
              <a:rPr lang="en-US" sz="1800" baseline="0">
                <a:solidFill>
                  <a:schemeClr val="accent5"/>
                </a:solidFill>
                <a:latin typeface="+mj-lt"/>
              </a:rPr>
              <a:t> Trend</a:t>
            </a:r>
            <a:endParaRPr lang="en-US" sz="1800">
              <a:solidFill>
                <a:schemeClr val="accent5"/>
              </a:solidFill>
              <a:latin typeface="+mj-lt"/>
            </a:endParaRPr>
          </a:p>
        </c:rich>
      </c:tx>
      <c:layout>
        <c:manualLayout>
          <c:xMode val="edge"/>
          <c:yMode val="edge"/>
          <c:x val="5.9823091247672266E-2"/>
          <c:y val="4.40044004400440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Saturday</c:v>
                </c:pt>
                <c:pt idx="1">
                  <c:v>Friday</c:v>
                </c:pt>
                <c:pt idx="2">
                  <c:v>Thursday</c:v>
                </c:pt>
                <c:pt idx="3">
                  <c:v>Wednesday</c:v>
                </c:pt>
                <c:pt idx="4">
                  <c:v>Tuesday</c:v>
                </c:pt>
                <c:pt idx="5">
                  <c:v>Monday</c:v>
                </c:pt>
                <c:pt idx="6">
                  <c:v>Sunday</c:v>
                </c:pt>
              </c:strCache>
            </c:strRef>
          </c:cat>
          <c:val>
            <c:numRef>
              <c:f>pivots!$H$25:$H$32</c:f>
              <c:numCache>
                <c:formatCode>#,##0</c:formatCode>
                <c:ptCount val="7"/>
                <c:pt idx="0">
                  <c:v>34</c:v>
                </c:pt>
                <c:pt idx="1">
                  <c:v>29</c:v>
                </c:pt>
                <c:pt idx="2">
                  <c:v>18</c:v>
                </c:pt>
                <c:pt idx="3">
                  <c:v>29</c:v>
                </c:pt>
                <c:pt idx="4">
                  <c:v>28</c:v>
                </c:pt>
                <c:pt idx="5">
                  <c:v>23</c:v>
                </c:pt>
                <c:pt idx="6">
                  <c:v>25</c:v>
                </c:pt>
              </c:numCache>
            </c:numRef>
          </c:val>
          <c:extLst>
            <c:ext xmlns:c16="http://schemas.microsoft.com/office/drawing/2014/chart" uri="{C3380CC4-5D6E-409C-BE32-E72D297353CC}">
              <c16:uniqueId val="{00000000-8D51-444D-B01B-21AA67A63E99}"/>
            </c:ext>
          </c:extLst>
        </c:ser>
        <c:dLbls>
          <c:showLegendKey val="0"/>
          <c:showVal val="0"/>
          <c:showCatName val="0"/>
          <c:showSerName val="0"/>
          <c:showPercent val="0"/>
          <c:showBubbleSize val="0"/>
        </c:dLbls>
        <c:gapWidth val="25"/>
        <c:axId val="132651536"/>
        <c:axId val="132652496"/>
      </c:barChart>
      <c:catAx>
        <c:axId val="1326515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crossAx val="132652496"/>
        <c:crosses val="autoZero"/>
        <c:auto val="1"/>
        <c:lblAlgn val="ctr"/>
        <c:lblOffset val="100"/>
        <c:noMultiLvlLbl val="0"/>
      </c:catAx>
      <c:valAx>
        <c:axId val="132652496"/>
        <c:scaling>
          <c:orientation val="minMax"/>
        </c:scaling>
        <c:delete val="1"/>
        <c:axPos val="b"/>
        <c:numFmt formatCode="#,##0" sourceLinked="1"/>
        <c:majorTickMark val="none"/>
        <c:minorTickMark val="none"/>
        <c:tickLblPos val="nextTo"/>
        <c:crossAx val="13265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6"/>
                </a:solidFill>
                <a:latin typeface="+mj-lt"/>
              </a:rPr>
              <a:t>Call</a:t>
            </a:r>
            <a:r>
              <a:rPr lang="en-IN" sz="1800" b="1" baseline="0">
                <a:solidFill>
                  <a:schemeClr val="accent6"/>
                </a:solidFill>
                <a:latin typeface="+mj-lt"/>
              </a:rPr>
              <a:t> Trend</a:t>
            </a:r>
            <a:endParaRPr lang="en-IN" sz="1800" b="1">
              <a:solidFill>
                <a:schemeClr val="accent6"/>
              </a:solidFill>
              <a:latin typeface="+mj-lt"/>
            </a:endParaRPr>
          </a:p>
        </c:rich>
      </c:tx>
      <c:layout>
        <c:manualLayout>
          <c:xMode val="edge"/>
          <c:yMode val="edge"/>
          <c:x val="5.3571428571428568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79079684575855E-2"/>
          <c:y val="0.16464627968015627"/>
          <c:w val="0.86358321281268413"/>
          <c:h val="0.68016585136160301"/>
        </c:manualLayout>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25D0-406C-A3CC-3940F221C17D}"/>
            </c:ext>
          </c:extLst>
        </c:ser>
        <c:dLbls>
          <c:showLegendKey val="0"/>
          <c:showVal val="0"/>
          <c:showCatName val="0"/>
          <c:showSerName val="0"/>
          <c:showPercent val="0"/>
          <c:showBubbleSize val="0"/>
        </c:dLbls>
        <c:axId val="812566384"/>
        <c:axId val="812567344"/>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25D0-406C-A3CC-3940F221C17D}"/>
            </c:ext>
          </c:extLst>
        </c:ser>
        <c:dLbls>
          <c:showLegendKey val="0"/>
          <c:showVal val="0"/>
          <c:showCatName val="0"/>
          <c:showSerName val="0"/>
          <c:showPercent val="0"/>
          <c:showBubbleSize val="0"/>
        </c:dLbls>
        <c:marker val="1"/>
        <c:smooth val="0"/>
        <c:axId val="812566384"/>
        <c:axId val="812567344"/>
      </c:lineChart>
      <c:catAx>
        <c:axId val="81256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2567344"/>
        <c:crosses val="autoZero"/>
        <c:auto val="1"/>
        <c:lblAlgn val="ctr"/>
        <c:lblOffset val="100"/>
        <c:noMultiLvlLbl val="0"/>
      </c:catAx>
      <c:valAx>
        <c:axId val="812567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256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r>
              <a:rPr lang="en-IN" sz="1800">
                <a:solidFill>
                  <a:schemeClr val="accent5"/>
                </a:solidFill>
                <a:latin typeface="+mj-lt"/>
              </a:rPr>
              <a:t>Calls</a:t>
            </a:r>
          </a:p>
        </c:rich>
      </c:tx>
      <c:layout>
        <c:manualLayout>
          <c:xMode val="edge"/>
          <c:yMode val="edge"/>
          <c:x val="0.10608646188850966"/>
          <c:y val="2.583979328165374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j-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pivots!$F$63:$F$67</c:f>
              <c:strCache>
                <c:ptCount val="5"/>
                <c:pt idx="0">
                  <c:v>R01</c:v>
                </c:pt>
                <c:pt idx="1">
                  <c:v>R02</c:v>
                </c:pt>
                <c:pt idx="2">
                  <c:v>R03</c:v>
                </c:pt>
                <c:pt idx="3">
                  <c:v>R04</c:v>
                </c:pt>
                <c:pt idx="4">
                  <c:v>R05</c:v>
                </c:pt>
              </c:strCache>
            </c:strRef>
          </c:cat>
          <c:val>
            <c:numRef>
              <c:f>pivots!$G$63:$G$67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70E-440F-A7C9-E8EA2AB32E16}"/>
            </c:ext>
          </c:extLst>
        </c:ser>
        <c:ser>
          <c:idx val="1"/>
          <c:order val="1"/>
          <c:spPr>
            <a:gradFill flip="none" rotWithShape="1">
              <a:gsLst>
                <a:gs pos="0">
                  <a:schemeClr val="accent5">
                    <a:lumMod val="40000"/>
                    <a:lumOff val="60000"/>
                  </a:schemeClr>
                </a:gs>
                <a:gs pos="100000">
                  <a:schemeClr val="accent5"/>
                </a:gs>
              </a:gsLst>
              <a:path path="circle">
                <a:fillToRect l="50000" t="-80000" r="50000" b="180000"/>
              </a:path>
              <a:tileRect/>
            </a:gradFill>
            <a:ln>
              <a:noFill/>
            </a:ln>
            <a:effectLst/>
          </c:spPr>
          <c:invertIfNegative val="0"/>
          <c:val>
            <c:numRef>
              <c:f>pivots!$I$63:$I$67</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670E-440F-A7C9-E8EA2AB32E16}"/>
            </c:ext>
          </c:extLst>
        </c:ser>
        <c:dLbls>
          <c:showLegendKey val="0"/>
          <c:showVal val="0"/>
          <c:showCatName val="0"/>
          <c:showSerName val="0"/>
          <c:showPercent val="0"/>
          <c:showBubbleSize val="0"/>
        </c:dLbls>
        <c:gapWidth val="25"/>
        <c:overlap val="100"/>
        <c:axId val="132653456"/>
        <c:axId val="132646256"/>
      </c:barChart>
      <c:catAx>
        <c:axId val="1326534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j-lt"/>
                <a:ea typeface="+mn-ea"/>
                <a:cs typeface="+mn-cs"/>
              </a:defRPr>
            </a:pPr>
            <a:endParaRPr lang="en-US"/>
          </a:p>
        </c:txPr>
        <c:crossAx val="132646256"/>
        <c:crosses val="autoZero"/>
        <c:auto val="1"/>
        <c:lblAlgn val="ctr"/>
        <c:lblOffset val="100"/>
        <c:noMultiLvlLbl val="0"/>
      </c:catAx>
      <c:valAx>
        <c:axId val="132646256"/>
        <c:scaling>
          <c:orientation val="minMax"/>
          <c:min val="0"/>
        </c:scaling>
        <c:delete val="1"/>
        <c:axPos val="t"/>
        <c:numFmt formatCode="General" sourceLinked="1"/>
        <c:majorTickMark val="none"/>
        <c:minorTickMark val="none"/>
        <c:tickLblPos val="nextTo"/>
        <c:crossAx val="13265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[07.sample-data-excel-portfolio-project.xlsx]pivots!Female Vs. male callers</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b="1">
                <a:solidFill>
                  <a:schemeClr val="accent5">
                    <a:lumMod val="40000"/>
                    <a:lumOff val="60000"/>
                  </a:schemeClr>
                </a:solidFill>
                <a:latin typeface="+mj-lt"/>
              </a:rPr>
              <a:t>Female</a:t>
            </a:r>
            <a:r>
              <a:rPr lang="en-IN" sz="1600" b="1" baseline="0">
                <a:solidFill>
                  <a:schemeClr val="accent6"/>
                </a:solidFill>
                <a:latin typeface="+mj-lt"/>
              </a:rPr>
              <a:t> Vs. </a:t>
            </a:r>
            <a:r>
              <a:rPr lang="en-IN" sz="1600" b="1" baseline="0">
                <a:solidFill>
                  <a:schemeClr val="accent6">
                    <a:lumMod val="60000"/>
                    <a:lumOff val="40000"/>
                  </a:schemeClr>
                </a:solidFill>
                <a:latin typeface="+mj-lt"/>
              </a:rPr>
              <a:t>Male </a:t>
            </a:r>
            <a:r>
              <a:rPr lang="en-IN" sz="1600" b="1" baseline="0">
                <a:solidFill>
                  <a:schemeClr val="accent6"/>
                </a:solidFill>
                <a:latin typeface="+mj-lt"/>
              </a:rPr>
              <a:t>Callers</a:t>
            </a:r>
            <a:endParaRPr lang="en-IN" sz="1600" b="1">
              <a:solidFill>
                <a:schemeClr val="accent6"/>
              </a:solidFill>
              <a:latin typeface="+mj-lt"/>
            </a:endParaRPr>
          </a:p>
        </c:rich>
      </c:tx>
      <c:layout>
        <c:manualLayout>
          <c:xMode val="edge"/>
          <c:yMode val="edge"/>
          <c:x val="9.997742217706658E-2"/>
          <c:y val="2.88184438040345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solidFill>
              <a:schemeClr val="bg1">
                <a:alpha val="50000"/>
              </a:schemeClr>
            </a:solidFill>
            <a:ln>
              <a:solidFill>
                <a:schemeClr val="accent1">
                  <a:shade val="1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6">
              <a:lumMod val="60000"/>
              <a:lumOff val="40000"/>
            </a:schemeClr>
          </a:solidFill>
          <a:ln>
            <a:noFill/>
          </a:ln>
          <a:effectLst/>
        </c:spPr>
        <c:marker>
          <c:symbol val="none"/>
        </c:marker>
        <c:dLbl>
          <c:idx val="0"/>
          <c:spPr>
            <a:solidFill>
              <a:schemeClr val="bg1">
                <a:alpha val="50000"/>
              </a:schemeClr>
            </a:solidFill>
            <a:ln>
              <a:solidFill>
                <a:schemeClr val="accent1">
                  <a:shade val="1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j-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pivots!$G$43:$G$44</c:f>
              <c:strCache>
                <c:ptCount val="1"/>
                <c:pt idx="0">
                  <c:v>Female</c:v>
                </c:pt>
              </c:strCache>
            </c:strRef>
          </c:tx>
          <c:spPr>
            <a:solidFill>
              <a:schemeClr val="accent5">
                <a:lumMod val="40000"/>
                <a:lumOff val="60000"/>
              </a:schemeClr>
            </a:solidFill>
            <a:ln>
              <a:noFill/>
            </a:ln>
            <a:effectLst/>
          </c:spPr>
          <c:invertIfNegative val="0"/>
          <c:dLbls>
            <c:spPr>
              <a:solidFill>
                <a:schemeClr val="bg1">
                  <a:alpha val="50000"/>
                </a:schemeClr>
              </a:solidFill>
              <a:ln>
                <a:solidFill>
                  <a:schemeClr val="accent1">
                    <a:shade val="1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pivots!$F$45:$F$48</c:f>
              <c:strCache>
                <c:ptCount val="3"/>
                <c:pt idx="0">
                  <c:v>Cincinnati</c:v>
                </c:pt>
                <c:pt idx="1">
                  <c:v>Cleveland</c:v>
                </c:pt>
                <c:pt idx="2">
                  <c:v>Columbus</c:v>
                </c:pt>
              </c:strCache>
            </c:strRef>
          </c:cat>
          <c:val>
            <c:numRef>
              <c:f>pivots!$G$45:$G$48</c:f>
              <c:numCache>
                <c:formatCode>#,##0</c:formatCode>
                <c:ptCount val="3"/>
                <c:pt idx="0">
                  <c:v>144</c:v>
                </c:pt>
                <c:pt idx="1">
                  <c:v>326</c:v>
                </c:pt>
                <c:pt idx="2">
                  <c:v>129</c:v>
                </c:pt>
              </c:numCache>
            </c:numRef>
          </c:val>
          <c:extLst>
            <c:ext xmlns:c16="http://schemas.microsoft.com/office/drawing/2014/chart" uri="{C3380CC4-5D6E-409C-BE32-E72D297353CC}">
              <c16:uniqueId val="{00000000-002C-4BFC-AF0F-38639AD30627}"/>
            </c:ext>
          </c:extLst>
        </c:ser>
        <c:ser>
          <c:idx val="1"/>
          <c:order val="1"/>
          <c:tx>
            <c:strRef>
              <c:f>pivots!$H$43:$H$44</c:f>
              <c:strCache>
                <c:ptCount val="1"/>
                <c:pt idx="0">
                  <c:v>Male</c:v>
                </c:pt>
              </c:strCache>
            </c:strRef>
          </c:tx>
          <c:spPr>
            <a:solidFill>
              <a:schemeClr val="accent6">
                <a:lumMod val="60000"/>
                <a:lumOff val="40000"/>
              </a:schemeClr>
            </a:solidFill>
            <a:ln>
              <a:noFill/>
            </a:ln>
            <a:effectLst/>
          </c:spPr>
          <c:invertIfNegative val="0"/>
          <c:dLbls>
            <c:spPr>
              <a:solidFill>
                <a:schemeClr val="bg1">
                  <a:alpha val="50000"/>
                </a:schemeClr>
              </a:solidFill>
              <a:ln>
                <a:solidFill>
                  <a:schemeClr val="accent1">
                    <a:shade val="1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dk1">
                        <a:lumMod val="65000"/>
                        <a:lumOff val="35000"/>
                      </a:schemeClr>
                    </a:solidFill>
                    <a:latin typeface="+mj-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pivots!$F$45:$F$48</c:f>
              <c:strCache>
                <c:ptCount val="3"/>
                <c:pt idx="0">
                  <c:v>Cincinnati</c:v>
                </c:pt>
                <c:pt idx="1">
                  <c:v>Cleveland</c:v>
                </c:pt>
                <c:pt idx="2">
                  <c:v>Columbus</c:v>
                </c:pt>
              </c:strCache>
            </c:strRef>
          </c:cat>
          <c:val>
            <c:numRef>
              <c:f>pivots!$H$45:$H$48</c:f>
              <c:numCache>
                <c:formatCode>#,##0</c:formatCode>
                <c:ptCount val="3"/>
                <c:pt idx="0">
                  <c:v>132</c:v>
                </c:pt>
                <c:pt idx="1">
                  <c:v>63</c:v>
                </c:pt>
                <c:pt idx="2">
                  <c:v>206</c:v>
                </c:pt>
              </c:numCache>
            </c:numRef>
          </c:val>
          <c:extLst>
            <c:ext xmlns:c16="http://schemas.microsoft.com/office/drawing/2014/chart" uri="{C3380CC4-5D6E-409C-BE32-E72D297353CC}">
              <c16:uniqueId val="{00000001-002C-4BFC-AF0F-38639AD30627}"/>
            </c:ext>
          </c:extLst>
        </c:ser>
        <c:dLbls>
          <c:showLegendKey val="0"/>
          <c:showVal val="0"/>
          <c:showCatName val="0"/>
          <c:showSerName val="0"/>
          <c:showPercent val="0"/>
          <c:showBubbleSize val="0"/>
        </c:dLbls>
        <c:gapWidth val="25"/>
        <c:overlap val="100"/>
        <c:axId val="313858528"/>
        <c:axId val="313884448"/>
      </c:barChart>
      <c:catAx>
        <c:axId val="31385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3884448"/>
        <c:crosses val="autoZero"/>
        <c:auto val="1"/>
        <c:lblAlgn val="ctr"/>
        <c:lblOffset val="100"/>
        <c:noMultiLvlLbl val="0"/>
      </c:catAx>
      <c:valAx>
        <c:axId val="313884448"/>
        <c:scaling>
          <c:orientation val="minMax"/>
        </c:scaling>
        <c:delete val="1"/>
        <c:axPos val="l"/>
        <c:numFmt formatCode="0%" sourceLinked="1"/>
        <c:majorTickMark val="none"/>
        <c:minorTickMark val="none"/>
        <c:tickLblPos val="nextTo"/>
        <c:crossAx val="313858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accent6"/>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pivots!$B$87</c:f>
              <c:strCache>
                <c:ptCount val="1"/>
                <c:pt idx="0">
                  <c:v>Total</c:v>
                </c:pt>
              </c:strCache>
            </c:strRef>
          </c:tx>
          <c:spPr>
            <a:solidFill>
              <a:schemeClr val="accent6"/>
            </a:solidFill>
            <a:ln>
              <a:noFill/>
            </a:ln>
            <a:effectLst/>
          </c:spPr>
          <c:invertIfNegative val="0"/>
          <c:cat>
            <c:strRef>
              <c:f>pivots!$A$88:$A$93</c:f>
              <c:strCache>
                <c:ptCount val="5"/>
                <c:pt idx="0">
                  <c:v>1</c:v>
                </c:pt>
                <c:pt idx="1">
                  <c:v>2</c:v>
                </c:pt>
                <c:pt idx="2">
                  <c:v>3</c:v>
                </c:pt>
                <c:pt idx="3">
                  <c:v>4</c:v>
                </c:pt>
                <c:pt idx="4">
                  <c:v>5</c:v>
                </c:pt>
              </c:strCache>
            </c:strRef>
          </c:cat>
          <c:val>
            <c:numRef>
              <c:f>pivots!$B$88:$B$93</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4693-40CB-A1DA-17CC750BE4E8}"/>
            </c:ext>
          </c:extLst>
        </c:ser>
        <c:dLbls>
          <c:showLegendKey val="0"/>
          <c:showVal val="0"/>
          <c:showCatName val="0"/>
          <c:showSerName val="0"/>
          <c:showPercent val="0"/>
          <c:showBubbleSize val="0"/>
        </c:dLbls>
        <c:gapWidth val="10"/>
        <c:overlap val="-27"/>
        <c:axId val="313911328"/>
        <c:axId val="313911808"/>
      </c:barChart>
      <c:catAx>
        <c:axId val="31391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3911808"/>
        <c:crosses val="autoZero"/>
        <c:auto val="1"/>
        <c:lblAlgn val="ctr"/>
        <c:lblOffset val="100"/>
        <c:noMultiLvlLbl val="0"/>
      </c:catAx>
      <c:valAx>
        <c:axId val="313911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391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8</xdr:col>
      <xdr:colOff>274320</xdr:colOff>
      <xdr:row>2</xdr:row>
      <xdr:rowOff>0</xdr:rowOff>
    </xdr:from>
    <xdr:to>
      <xdr:col>10</xdr:col>
      <xdr:colOff>396240</xdr:colOff>
      <xdr:row>16</xdr:row>
      <xdr:rowOff>20955</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5BC31089-54CA-4E09-A0D7-588610B8D948}"/>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484620" y="3657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18</xdr:row>
      <xdr:rowOff>157975</xdr:rowOff>
    </xdr:from>
    <xdr:to>
      <xdr:col>9</xdr:col>
      <xdr:colOff>190500</xdr:colOff>
      <xdr:row>37</xdr:row>
      <xdr:rowOff>157975</xdr:rowOff>
    </xdr:to>
    <xdr:sp macro="" textlink="">
      <xdr:nvSpPr>
        <xdr:cNvPr id="30" name="Rectangle 29">
          <a:extLst>
            <a:ext uri="{FF2B5EF4-FFF2-40B4-BE49-F238E27FC236}">
              <a16:creationId xmlns:a16="http://schemas.microsoft.com/office/drawing/2014/main" id="{887DB65C-8335-1B7D-BC89-D4581E2FA072}"/>
            </a:ext>
          </a:extLst>
        </xdr:cNvPr>
        <xdr:cNvSpPr/>
      </xdr:nvSpPr>
      <xdr:spPr>
        <a:xfrm>
          <a:off x="2289160" y="3503341"/>
          <a:ext cx="3922999" cy="353121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259080</xdr:colOff>
      <xdr:row>18</xdr:row>
      <xdr:rowOff>91440</xdr:rowOff>
    </xdr:from>
    <xdr:to>
      <xdr:col>9</xdr:col>
      <xdr:colOff>297180</xdr:colOff>
      <xdr:row>35</xdr:row>
      <xdr:rowOff>106680</xdr:rowOff>
    </xdr:to>
    <xdr:graphicFrame macro="">
      <xdr:nvGraphicFramePr>
        <xdr:cNvPr id="28" name="Chart 27">
          <a:extLst>
            <a:ext uri="{FF2B5EF4-FFF2-40B4-BE49-F238E27FC236}">
              <a16:creationId xmlns:a16="http://schemas.microsoft.com/office/drawing/2014/main" id="{6BF40781-2B1E-47AF-97E8-2CF93E0415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297180</xdr:colOff>
      <xdr:row>2</xdr:row>
      <xdr:rowOff>60960</xdr:rowOff>
    </xdr:from>
    <xdr:to>
      <xdr:col>12</xdr:col>
      <xdr:colOff>92927</xdr:colOff>
      <xdr:row>16</xdr:row>
      <xdr:rowOff>137160</xdr:rowOff>
    </xdr:to>
    <xdr:graphicFrame macro="">
      <xdr:nvGraphicFramePr>
        <xdr:cNvPr id="27" name="Chart 26">
          <a:extLst>
            <a:ext uri="{FF2B5EF4-FFF2-40B4-BE49-F238E27FC236}">
              <a16:creationId xmlns:a16="http://schemas.microsoft.com/office/drawing/2014/main" id="{736B9912-DAF8-4DE7-ADE2-F4DDF0662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xdr:row>
      <xdr:rowOff>106680</xdr:rowOff>
    </xdr:from>
    <xdr:to>
      <xdr:col>2</xdr:col>
      <xdr:colOff>518160</xdr:colOff>
      <xdr:row>7</xdr:row>
      <xdr:rowOff>15240</xdr:rowOff>
    </xdr:to>
    <xdr:sp macro="" textlink="pivots!A4">
      <xdr:nvSpPr>
        <xdr:cNvPr id="2" name="Rectangle 1">
          <a:extLst>
            <a:ext uri="{FF2B5EF4-FFF2-40B4-BE49-F238E27FC236}">
              <a16:creationId xmlns:a16="http://schemas.microsoft.com/office/drawing/2014/main" id="{DD61275B-1607-9B74-0CAB-8BA12BBAA189}"/>
            </a:ext>
          </a:extLst>
        </xdr:cNvPr>
        <xdr:cNvSpPr/>
      </xdr:nvSpPr>
      <xdr:spPr>
        <a:xfrm>
          <a:off x="670560" y="472440"/>
          <a:ext cx="1188720" cy="822960"/>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29EB80B-6D6B-4E75-8B6A-3224377C74DA}" type="TxLink">
            <a:rPr lang="en-US" sz="2800" b="0" i="0" u="none" strike="noStrike">
              <a:solidFill>
                <a:schemeClr val="bg1"/>
              </a:solidFill>
              <a:latin typeface="+mj-lt"/>
            </a:rPr>
            <a:pPr algn="ctr"/>
            <a:t>1,000</a:t>
          </a:fld>
          <a:endParaRPr lang="en-IN" sz="2800">
            <a:solidFill>
              <a:schemeClr val="bg1"/>
            </a:solidFill>
            <a:latin typeface="+mj-lt"/>
          </a:endParaRPr>
        </a:p>
      </xdr:txBody>
    </xdr:sp>
    <xdr:clientData/>
  </xdr:twoCellAnchor>
  <xdr:twoCellAnchor>
    <xdr:from>
      <xdr:col>1</xdr:col>
      <xdr:colOff>190500</xdr:colOff>
      <xdr:row>2</xdr:row>
      <xdr:rowOff>83820</xdr:rowOff>
    </xdr:from>
    <xdr:to>
      <xdr:col>2</xdr:col>
      <xdr:colOff>541020</xdr:colOff>
      <xdr:row>4</xdr:row>
      <xdr:rowOff>15240</xdr:rowOff>
    </xdr:to>
    <xdr:sp macro="" textlink="">
      <xdr:nvSpPr>
        <xdr:cNvPr id="3" name="TextBox 2">
          <a:extLst>
            <a:ext uri="{FF2B5EF4-FFF2-40B4-BE49-F238E27FC236}">
              <a16:creationId xmlns:a16="http://schemas.microsoft.com/office/drawing/2014/main" id="{1267CF35-A03A-327D-8C3E-133836B663FC}"/>
            </a:ext>
          </a:extLst>
        </xdr:cNvPr>
        <xdr:cNvSpPr txBox="1"/>
      </xdr:nvSpPr>
      <xdr:spPr>
        <a:xfrm>
          <a:off x="861060" y="449580"/>
          <a:ext cx="10210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Calls</a:t>
          </a:r>
        </a:p>
      </xdr:txBody>
    </xdr:sp>
    <xdr:clientData/>
  </xdr:twoCellAnchor>
  <xdr:twoCellAnchor editAs="oneCell">
    <xdr:from>
      <xdr:col>1</xdr:col>
      <xdr:colOff>80446</xdr:colOff>
      <xdr:row>2</xdr:row>
      <xdr:rowOff>120213</xdr:rowOff>
    </xdr:from>
    <xdr:to>
      <xdr:col>1</xdr:col>
      <xdr:colOff>342951</xdr:colOff>
      <xdr:row>3</xdr:row>
      <xdr:rowOff>178552</xdr:rowOff>
    </xdr:to>
    <xdr:pic>
      <xdr:nvPicPr>
        <xdr:cNvPr id="4" name="Graphic 3" descr="Receiver with solid fill">
          <a:extLst>
            <a:ext uri="{FF2B5EF4-FFF2-40B4-BE49-F238E27FC236}">
              <a16:creationId xmlns:a16="http://schemas.microsoft.com/office/drawing/2014/main" id="{D2ED23BD-BE39-4A60-A2F9-4C554B40A0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21045187">
          <a:off x="751006" y="485973"/>
          <a:ext cx="262505" cy="241219"/>
        </a:xfrm>
        <a:prstGeom prst="rect">
          <a:avLst/>
        </a:prstGeom>
      </xdr:spPr>
    </xdr:pic>
    <xdr:clientData/>
  </xdr:twoCellAnchor>
  <xdr:twoCellAnchor>
    <xdr:from>
      <xdr:col>1</xdr:col>
      <xdr:colOff>175260</xdr:colOff>
      <xdr:row>6</xdr:row>
      <xdr:rowOff>0</xdr:rowOff>
    </xdr:from>
    <xdr:to>
      <xdr:col>2</xdr:col>
      <xdr:colOff>396240</xdr:colOff>
      <xdr:row>6</xdr:row>
      <xdr:rowOff>167640</xdr:rowOff>
    </xdr:to>
    <xdr:sp macro="" textlink="pivots!A8">
      <xdr:nvSpPr>
        <xdr:cNvPr id="5" name="TextBox 4">
          <a:extLst>
            <a:ext uri="{FF2B5EF4-FFF2-40B4-BE49-F238E27FC236}">
              <a16:creationId xmlns:a16="http://schemas.microsoft.com/office/drawing/2014/main" id="{6DFF98B2-5522-D63E-190F-F93E812305F0}"/>
            </a:ext>
          </a:extLst>
        </xdr:cNvPr>
        <xdr:cNvSpPr txBox="1"/>
      </xdr:nvSpPr>
      <xdr:spPr>
        <a:xfrm>
          <a:off x="845820" y="1097280"/>
          <a:ext cx="891540" cy="16764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FEDDF2-20E4-43C1-940E-35B8160F8347}" type="TxLink">
            <a:rPr lang="en-US" sz="1100" b="1" i="0" u="none" strike="noStrike">
              <a:ln>
                <a:noFill/>
              </a:ln>
              <a:solidFill>
                <a:schemeClr val="accent6">
                  <a:lumMod val="20000"/>
                  <a:lumOff val="80000"/>
                </a:schemeClr>
              </a:solidFill>
              <a:latin typeface="Aptos"/>
            </a:rPr>
            <a:pPr algn="ctr"/>
            <a:t>186</a:t>
          </a:fld>
          <a:endParaRPr lang="en-IN" sz="1100" b="1">
            <a:ln>
              <a:noFill/>
            </a:ln>
            <a:solidFill>
              <a:schemeClr val="accent6">
                <a:lumMod val="20000"/>
                <a:lumOff val="80000"/>
              </a:schemeClr>
            </a:solidFill>
          </a:endParaRPr>
        </a:p>
      </xdr:txBody>
    </xdr:sp>
    <xdr:clientData/>
  </xdr:twoCellAnchor>
  <xdr:twoCellAnchor>
    <xdr:from>
      <xdr:col>1</xdr:col>
      <xdr:colOff>18586</xdr:colOff>
      <xdr:row>10</xdr:row>
      <xdr:rowOff>87909</xdr:rowOff>
    </xdr:from>
    <xdr:to>
      <xdr:col>2</xdr:col>
      <xdr:colOff>536746</xdr:colOff>
      <xdr:row>15</xdr:row>
      <xdr:rowOff>92927</xdr:rowOff>
    </xdr:to>
    <xdr:sp macro="" textlink="pivots!B4">
      <xdr:nvSpPr>
        <xdr:cNvPr id="6" name="Rectangle 5">
          <a:extLst>
            <a:ext uri="{FF2B5EF4-FFF2-40B4-BE49-F238E27FC236}">
              <a16:creationId xmlns:a16="http://schemas.microsoft.com/office/drawing/2014/main" id="{5BC876BE-D87F-4F4F-8FF9-FE814188D728}"/>
            </a:ext>
          </a:extLst>
        </xdr:cNvPr>
        <xdr:cNvSpPr/>
      </xdr:nvSpPr>
      <xdr:spPr>
        <a:xfrm>
          <a:off x="687659" y="1946446"/>
          <a:ext cx="1187233" cy="934286"/>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164AAEF-B237-4D90-B981-2362AD134B65}" type="TxLink">
            <a:rPr lang="en-US" sz="1400" b="0" i="0" u="none" strike="noStrike">
              <a:solidFill>
                <a:schemeClr val="bg1"/>
              </a:solidFill>
              <a:latin typeface="+mj-lt"/>
              <a:ea typeface="+mn-ea"/>
              <a:cs typeface="+mn-cs"/>
            </a:rPr>
            <a:pPr marL="0" indent="0" algn="ctr"/>
            <a:t> $96,623.00 </a:t>
          </a:fld>
          <a:endParaRPr lang="en-IN" sz="1400" b="0" i="0" u="none" strike="noStrike">
            <a:solidFill>
              <a:schemeClr val="bg1"/>
            </a:solidFill>
            <a:latin typeface="+mj-lt"/>
            <a:ea typeface="+mn-ea"/>
            <a:cs typeface="+mn-cs"/>
          </a:endParaRPr>
        </a:p>
      </xdr:txBody>
    </xdr:sp>
    <xdr:clientData/>
  </xdr:twoCellAnchor>
  <xdr:twoCellAnchor>
    <xdr:from>
      <xdr:col>1</xdr:col>
      <xdr:colOff>227671</xdr:colOff>
      <xdr:row>10</xdr:row>
      <xdr:rowOff>92926</xdr:rowOff>
    </xdr:from>
    <xdr:to>
      <xdr:col>2</xdr:col>
      <xdr:colOff>578191</xdr:colOff>
      <xdr:row>12</xdr:row>
      <xdr:rowOff>21372</xdr:rowOff>
    </xdr:to>
    <xdr:sp macro="" textlink="">
      <xdr:nvSpPr>
        <xdr:cNvPr id="7" name="TextBox 6">
          <a:extLst>
            <a:ext uri="{FF2B5EF4-FFF2-40B4-BE49-F238E27FC236}">
              <a16:creationId xmlns:a16="http://schemas.microsoft.com/office/drawing/2014/main" id="{3063A362-D8CE-4563-9900-A22A68C60E3B}"/>
            </a:ext>
          </a:extLst>
        </xdr:cNvPr>
        <xdr:cNvSpPr txBox="1"/>
      </xdr:nvSpPr>
      <xdr:spPr>
        <a:xfrm>
          <a:off x="896744" y="1951463"/>
          <a:ext cx="1019593" cy="300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Amount</a:t>
          </a:r>
        </a:p>
      </xdr:txBody>
    </xdr:sp>
    <xdr:clientData/>
  </xdr:twoCellAnchor>
  <xdr:twoCellAnchor editAs="oneCell">
    <xdr:from>
      <xdr:col>1</xdr:col>
      <xdr:colOff>91089</xdr:colOff>
      <xdr:row>10</xdr:row>
      <xdr:rowOff>120028</xdr:rowOff>
    </xdr:from>
    <xdr:to>
      <xdr:col>1</xdr:col>
      <xdr:colOff>332308</xdr:colOff>
      <xdr:row>11</xdr:row>
      <xdr:rowOff>178367</xdr:rowOff>
    </xdr:to>
    <xdr:pic>
      <xdr:nvPicPr>
        <xdr:cNvPr id="8" name="Graphic 7">
          <a:extLst>
            <a:ext uri="{FF2B5EF4-FFF2-40B4-BE49-F238E27FC236}">
              <a16:creationId xmlns:a16="http://schemas.microsoft.com/office/drawing/2014/main" id="{C5D39F15-A54D-42F2-95CD-D91F076B0E2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rot="21045187">
          <a:off x="760162" y="1978565"/>
          <a:ext cx="241219" cy="244192"/>
        </a:xfrm>
        <a:prstGeom prst="rect">
          <a:avLst/>
        </a:prstGeom>
      </xdr:spPr>
    </xdr:pic>
    <xdr:clientData/>
  </xdr:twoCellAnchor>
  <xdr:twoCellAnchor>
    <xdr:from>
      <xdr:col>1</xdr:col>
      <xdr:colOff>175260</xdr:colOff>
      <xdr:row>14</xdr:row>
      <xdr:rowOff>6134</xdr:rowOff>
    </xdr:from>
    <xdr:to>
      <xdr:col>2</xdr:col>
      <xdr:colOff>396240</xdr:colOff>
      <xdr:row>14</xdr:row>
      <xdr:rowOff>176747</xdr:rowOff>
    </xdr:to>
    <xdr:sp macro="" textlink="pivots!B8">
      <xdr:nvSpPr>
        <xdr:cNvPr id="9" name="TextBox 8">
          <a:extLst>
            <a:ext uri="{FF2B5EF4-FFF2-40B4-BE49-F238E27FC236}">
              <a16:creationId xmlns:a16="http://schemas.microsoft.com/office/drawing/2014/main" id="{7AE9EA31-5B81-4BC7-B490-8ED29AE2BE18}"/>
            </a:ext>
          </a:extLst>
        </xdr:cNvPr>
        <xdr:cNvSpPr txBox="1"/>
      </xdr:nvSpPr>
      <xdr:spPr>
        <a:xfrm>
          <a:off x="844333" y="2608085"/>
          <a:ext cx="890053" cy="17061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68FC6A-A8C6-4267-8877-63DC2B632750}" type="TxLink">
            <a:rPr lang="en-US" sz="1100" b="1" i="0" u="none" strike="noStrike">
              <a:ln>
                <a:noFill/>
              </a:ln>
              <a:solidFill>
                <a:schemeClr val="bg1"/>
              </a:solidFill>
              <a:latin typeface="Aptos"/>
            </a:rPr>
            <a:pPr algn="ctr"/>
            <a:t> $16,651 </a:t>
          </a:fld>
          <a:endParaRPr lang="en-IN" sz="1100" b="1">
            <a:ln>
              <a:noFill/>
            </a:ln>
            <a:solidFill>
              <a:schemeClr val="bg1"/>
            </a:solidFill>
          </a:endParaRPr>
        </a:p>
      </xdr:txBody>
    </xdr:sp>
    <xdr:clientData/>
  </xdr:twoCellAnchor>
  <xdr:twoCellAnchor>
    <xdr:from>
      <xdr:col>1</xdr:col>
      <xdr:colOff>18585</xdr:colOff>
      <xdr:row>18</xdr:row>
      <xdr:rowOff>4274</xdr:rowOff>
    </xdr:from>
    <xdr:to>
      <xdr:col>2</xdr:col>
      <xdr:colOff>536745</xdr:colOff>
      <xdr:row>22</xdr:row>
      <xdr:rowOff>148683</xdr:rowOff>
    </xdr:to>
    <xdr:sp macro="" textlink="pivots!C4">
      <xdr:nvSpPr>
        <xdr:cNvPr id="10" name="Rectangle 9">
          <a:extLst>
            <a:ext uri="{FF2B5EF4-FFF2-40B4-BE49-F238E27FC236}">
              <a16:creationId xmlns:a16="http://schemas.microsoft.com/office/drawing/2014/main" id="{D7C63ECD-DF9E-4C66-8DBA-95751129820A}"/>
            </a:ext>
          </a:extLst>
        </xdr:cNvPr>
        <xdr:cNvSpPr/>
      </xdr:nvSpPr>
      <xdr:spPr>
        <a:xfrm>
          <a:off x="687658" y="3349640"/>
          <a:ext cx="1187233" cy="887823"/>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4F30065-F5B9-45F5-BA6C-B65CF5FB606A}" type="TxLink">
            <a:rPr lang="en-US" sz="2800" b="0" i="0" u="none" strike="noStrike">
              <a:solidFill>
                <a:schemeClr val="bg1"/>
              </a:solidFill>
              <a:latin typeface="+mj-lt"/>
              <a:ea typeface="+mn-ea"/>
              <a:cs typeface="+mn-cs"/>
            </a:rPr>
            <a:pPr marL="0" indent="0" algn="ctr"/>
            <a:t>89850</a:t>
          </a:fld>
          <a:endParaRPr lang="en-IN" sz="2800" b="0" i="0" u="none" strike="noStrike">
            <a:solidFill>
              <a:schemeClr val="bg1"/>
            </a:solidFill>
            <a:latin typeface="+mj-lt"/>
            <a:ea typeface="+mn-ea"/>
            <a:cs typeface="+mn-cs"/>
          </a:endParaRPr>
        </a:p>
      </xdr:txBody>
    </xdr:sp>
    <xdr:clientData/>
  </xdr:twoCellAnchor>
  <xdr:twoCellAnchor>
    <xdr:from>
      <xdr:col>1</xdr:col>
      <xdr:colOff>209085</xdr:colOff>
      <xdr:row>18</xdr:row>
      <xdr:rowOff>37171</xdr:rowOff>
    </xdr:from>
    <xdr:to>
      <xdr:col>2</xdr:col>
      <xdr:colOff>559605</xdr:colOff>
      <xdr:row>19</xdr:row>
      <xdr:rowOff>37171</xdr:rowOff>
    </xdr:to>
    <xdr:sp macro="" textlink="">
      <xdr:nvSpPr>
        <xdr:cNvPr id="11" name="TextBox 10">
          <a:extLst>
            <a:ext uri="{FF2B5EF4-FFF2-40B4-BE49-F238E27FC236}">
              <a16:creationId xmlns:a16="http://schemas.microsoft.com/office/drawing/2014/main" id="{2BE8FC8D-ADD0-409E-919F-119612D5D549}"/>
            </a:ext>
          </a:extLst>
        </xdr:cNvPr>
        <xdr:cNvSpPr txBox="1"/>
      </xdr:nvSpPr>
      <xdr:spPr>
        <a:xfrm>
          <a:off x="878158" y="3382537"/>
          <a:ext cx="1019593" cy="18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Duration</a:t>
          </a:r>
        </a:p>
      </xdr:txBody>
    </xdr:sp>
    <xdr:clientData/>
  </xdr:twoCellAnchor>
  <xdr:twoCellAnchor editAs="oneCell">
    <xdr:from>
      <xdr:col>1</xdr:col>
      <xdr:colOff>109675</xdr:colOff>
      <xdr:row>18</xdr:row>
      <xdr:rowOff>27101</xdr:rowOff>
    </xdr:from>
    <xdr:to>
      <xdr:col>1</xdr:col>
      <xdr:colOff>350894</xdr:colOff>
      <xdr:row>19</xdr:row>
      <xdr:rowOff>85440</xdr:rowOff>
    </xdr:to>
    <xdr:pic>
      <xdr:nvPicPr>
        <xdr:cNvPr id="12" name="Graphic 11">
          <a:extLst>
            <a:ext uri="{FF2B5EF4-FFF2-40B4-BE49-F238E27FC236}">
              <a16:creationId xmlns:a16="http://schemas.microsoft.com/office/drawing/2014/main" id="{A2136CAB-BEA1-4D14-82F5-99DF407824C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rot="19444591">
          <a:off x="778748" y="3372467"/>
          <a:ext cx="241219" cy="244193"/>
        </a:xfrm>
        <a:prstGeom prst="rect">
          <a:avLst/>
        </a:prstGeom>
      </xdr:spPr>
    </xdr:pic>
    <xdr:clientData/>
  </xdr:twoCellAnchor>
  <xdr:twoCellAnchor>
    <xdr:from>
      <xdr:col>1</xdr:col>
      <xdr:colOff>156675</xdr:colOff>
      <xdr:row>21</xdr:row>
      <xdr:rowOff>89767</xdr:rowOff>
    </xdr:from>
    <xdr:to>
      <xdr:col>2</xdr:col>
      <xdr:colOff>377655</xdr:colOff>
      <xdr:row>22</xdr:row>
      <xdr:rowOff>74341</xdr:rowOff>
    </xdr:to>
    <xdr:sp macro="" textlink="pivots!C8">
      <xdr:nvSpPr>
        <xdr:cNvPr id="13" name="TextBox 12">
          <a:extLst>
            <a:ext uri="{FF2B5EF4-FFF2-40B4-BE49-F238E27FC236}">
              <a16:creationId xmlns:a16="http://schemas.microsoft.com/office/drawing/2014/main" id="{090B16B9-2EFD-42FE-AAD7-EEE023E31F38}"/>
            </a:ext>
          </a:extLst>
        </xdr:cNvPr>
        <xdr:cNvSpPr txBox="1"/>
      </xdr:nvSpPr>
      <xdr:spPr>
        <a:xfrm>
          <a:off x="825748" y="3992694"/>
          <a:ext cx="890053" cy="170427"/>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3391C1-0479-44F9-B5AE-0AB16E8010FB}" type="TxLink">
            <a:rPr lang="en-US" sz="1100" b="1" i="0" u="none" strike="noStrike">
              <a:ln>
                <a:noFill/>
              </a:ln>
              <a:solidFill>
                <a:schemeClr val="bg1"/>
              </a:solidFill>
              <a:latin typeface="Aptos"/>
            </a:rPr>
            <a:pPr algn="ctr"/>
            <a:t>17807</a:t>
          </a:fld>
          <a:endParaRPr lang="en-IN" sz="1100" b="1">
            <a:ln>
              <a:noFill/>
            </a:ln>
            <a:solidFill>
              <a:schemeClr val="bg1"/>
            </a:solidFill>
          </a:endParaRPr>
        </a:p>
      </xdr:txBody>
    </xdr:sp>
    <xdr:clientData/>
  </xdr:twoCellAnchor>
  <xdr:twoCellAnchor>
    <xdr:from>
      <xdr:col>0</xdr:col>
      <xdr:colOff>650488</xdr:colOff>
      <xdr:row>25</xdr:row>
      <xdr:rowOff>115787</xdr:rowOff>
    </xdr:from>
    <xdr:to>
      <xdr:col>2</xdr:col>
      <xdr:colOff>499575</xdr:colOff>
      <xdr:row>30</xdr:row>
      <xdr:rowOff>21373</xdr:rowOff>
    </xdr:to>
    <xdr:sp macro="" textlink="pivots!D4">
      <xdr:nvSpPr>
        <xdr:cNvPr id="14" name="Rectangle 13">
          <a:extLst>
            <a:ext uri="{FF2B5EF4-FFF2-40B4-BE49-F238E27FC236}">
              <a16:creationId xmlns:a16="http://schemas.microsoft.com/office/drawing/2014/main" id="{E034ACFD-B2D4-4CEF-AE3E-6432FCE85942}"/>
            </a:ext>
          </a:extLst>
        </xdr:cNvPr>
        <xdr:cNvSpPr/>
      </xdr:nvSpPr>
      <xdr:spPr>
        <a:xfrm>
          <a:off x="650488" y="4762128"/>
          <a:ext cx="1187233" cy="834855"/>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E198BA-BB77-49C4-A043-7A453CA9AED3}" type="TxLink">
            <a:rPr lang="en-US" sz="2800" b="0" i="0" u="none" strike="noStrike">
              <a:solidFill>
                <a:schemeClr val="bg1"/>
              </a:solidFill>
              <a:latin typeface="+mj-lt"/>
              <a:ea typeface="+mn-ea"/>
              <a:cs typeface="+mn-cs"/>
            </a:rPr>
            <a:pPr marL="0" indent="0" algn="ctr"/>
            <a:t>3.9</a:t>
          </a:fld>
          <a:endParaRPr lang="en-IN" sz="2800" b="0" i="0" u="none" strike="noStrike">
            <a:solidFill>
              <a:schemeClr val="bg1"/>
            </a:solidFill>
            <a:latin typeface="+mj-lt"/>
            <a:ea typeface="+mn-ea"/>
            <a:cs typeface="+mn-cs"/>
          </a:endParaRPr>
        </a:p>
      </xdr:txBody>
    </xdr:sp>
    <xdr:clientData/>
  </xdr:twoCellAnchor>
  <xdr:twoCellAnchor>
    <xdr:from>
      <xdr:col>1</xdr:col>
      <xdr:colOff>153329</xdr:colOff>
      <xdr:row>25</xdr:row>
      <xdr:rowOff>111513</xdr:rowOff>
    </xdr:from>
    <xdr:to>
      <xdr:col>2</xdr:col>
      <xdr:colOff>503849</xdr:colOff>
      <xdr:row>27</xdr:row>
      <xdr:rowOff>39959</xdr:rowOff>
    </xdr:to>
    <xdr:sp macro="" textlink="">
      <xdr:nvSpPr>
        <xdr:cNvPr id="15" name="TextBox 14">
          <a:extLst>
            <a:ext uri="{FF2B5EF4-FFF2-40B4-BE49-F238E27FC236}">
              <a16:creationId xmlns:a16="http://schemas.microsoft.com/office/drawing/2014/main" id="{999E227C-C7A2-42EA-A0F1-283D5A384534}"/>
            </a:ext>
          </a:extLst>
        </xdr:cNvPr>
        <xdr:cNvSpPr txBox="1"/>
      </xdr:nvSpPr>
      <xdr:spPr>
        <a:xfrm>
          <a:off x="822402" y="4757854"/>
          <a:ext cx="1019593" cy="300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Avg.Rating</a:t>
          </a:r>
        </a:p>
      </xdr:txBody>
    </xdr:sp>
    <xdr:clientData/>
  </xdr:twoCellAnchor>
  <xdr:twoCellAnchor editAs="oneCell">
    <xdr:from>
      <xdr:col>1</xdr:col>
      <xdr:colOff>26040</xdr:colOff>
      <xdr:row>25</xdr:row>
      <xdr:rowOff>129320</xdr:rowOff>
    </xdr:from>
    <xdr:to>
      <xdr:col>1</xdr:col>
      <xdr:colOff>267259</xdr:colOff>
      <xdr:row>27</xdr:row>
      <xdr:rowOff>1806</xdr:rowOff>
    </xdr:to>
    <xdr:pic>
      <xdr:nvPicPr>
        <xdr:cNvPr id="16" name="Graphic 15">
          <a:extLst>
            <a:ext uri="{FF2B5EF4-FFF2-40B4-BE49-F238E27FC236}">
              <a16:creationId xmlns:a16="http://schemas.microsoft.com/office/drawing/2014/main" id="{DA159C23-C922-4AE3-9F50-27374402B9B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rot="21045187">
          <a:off x="695113" y="4775661"/>
          <a:ext cx="241219" cy="244194"/>
        </a:xfrm>
        <a:prstGeom prst="rect">
          <a:avLst/>
        </a:prstGeom>
      </xdr:spPr>
    </xdr:pic>
    <xdr:clientData/>
  </xdr:twoCellAnchor>
  <xdr:twoCellAnchor>
    <xdr:from>
      <xdr:col>1</xdr:col>
      <xdr:colOff>128797</xdr:colOff>
      <xdr:row>28</xdr:row>
      <xdr:rowOff>154816</xdr:rowOff>
    </xdr:from>
    <xdr:to>
      <xdr:col>2</xdr:col>
      <xdr:colOff>349777</xdr:colOff>
      <xdr:row>29</xdr:row>
      <xdr:rowOff>139576</xdr:rowOff>
    </xdr:to>
    <xdr:sp macro="" textlink="pivots!D8">
      <xdr:nvSpPr>
        <xdr:cNvPr id="17" name="TextBox 16">
          <a:extLst>
            <a:ext uri="{FF2B5EF4-FFF2-40B4-BE49-F238E27FC236}">
              <a16:creationId xmlns:a16="http://schemas.microsoft.com/office/drawing/2014/main" id="{D1BEE2AD-093A-4E21-B347-D37C39DC497A}"/>
            </a:ext>
          </a:extLst>
        </xdr:cNvPr>
        <xdr:cNvSpPr txBox="1"/>
      </xdr:nvSpPr>
      <xdr:spPr>
        <a:xfrm>
          <a:off x="797870" y="5358718"/>
          <a:ext cx="890053" cy="170614"/>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D6CE1C-BC70-450F-B4B8-47E0AB9E6DCB}" type="TxLink">
            <a:rPr lang="en-US" sz="1100" b="1" i="0" u="none" strike="noStrike">
              <a:ln>
                <a:noFill/>
              </a:ln>
              <a:solidFill>
                <a:schemeClr val="bg1"/>
              </a:solidFill>
              <a:latin typeface="Aptos"/>
            </a:rPr>
            <a:pPr algn="ctr"/>
            <a:t>3.9</a:t>
          </a:fld>
          <a:endParaRPr lang="en-IN" sz="1100" b="1">
            <a:ln>
              <a:noFill/>
            </a:ln>
            <a:solidFill>
              <a:schemeClr val="bg1"/>
            </a:solidFill>
          </a:endParaRPr>
        </a:p>
      </xdr:txBody>
    </xdr:sp>
    <xdr:clientData/>
  </xdr:twoCellAnchor>
  <xdr:twoCellAnchor>
    <xdr:from>
      <xdr:col>0</xdr:col>
      <xdr:colOff>641195</xdr:colOff>
      <xdr:row>33</xdr:row>
      <xdr:rowOff>4274</xdr:rowOff>
    </xdr:from>
    <xdr:to>
      <xdr:col>2</xdr:col>
      <xdr:colOff>490282</xdr:colOff>
      <xdr:row>37</xdr:row>
      <xdr:rowOff>95715</xdr:rowOff>
    </xdr:to>
    <xdr:sp macro="" textlink="pivots!E4">
      <xdr:nvSpPr>
        <xdr:cNvPr id="18" name="Rectangle 17">
          <a:extLst>
            <a:ext uri="{FF2B5EF4-FFF2-40B4-BE49-F238E27FC236}">
              <a16:creationId xmlns:a16="http://schemas.microsoft.com/office/drawing/2014/main" id="{9A885CC9-734F-45D7-BEF7-4D04E884DA19}"/>
            </a:ext>
          </a:extLst>
        </xdr:cNvPr>
        <xdr:cNvSpPr/>
      </xdr:nvSpPr>
      <xdr:spPr>
        <a:xfrm>
          <a:off x="641195" y="6137445"/>
          <a:ext cx="1187233" cy="834855"/>
        </a:xfrm>
        <a:prstGeom prst="rect">
          <a:avLst/>
        </a:prstGeom>
        <a:solidFill>
          <a:schemeClr val="accent6"/>
        </a:solidFill>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060CECD-E750-4F4E-A1FF-7B9B58D7E00F}" type="TxLink">
            <a:rPr lang="en-US" sz="2800" b="0" i="0" u="none" strike="noStrike">
              <a:solidFill>
                <a:schemeClr val="bg1"/>
              </a:solidFill>
              <a:latin typeface="+mj-lt"/>
              <a:ea typeface="+mn-ea"/>
              <a:cs typeface="+mn-cs"/>
            </a:rPr>
            <a:pPr marL="0" indent="0" algn="ctr"/>
            <a:t>307</a:t>
          </a:fld>
          <a:endParaRPr lang="en-IN" sz="2800" b="0" i="0" u="none" strike="noStrike">
            <a:solidFill>
              <a:schemeClr val="bg1"/>
            </a:solidFill>
            <a:latin typeface="+mj-lt"/>
            <a:ea typeface="+mn-ea"/>
            <a:cs typeface="+mn-cs"/>
          </a:endParaRPr>
        </a:p>
      </xdr:txBody>
    </xdr:sp>
    <xdr:clientData/>
  </xdr:twoCellAnchor>
  <xdr:twoCellAnchor>
    <xdr:from>
      <xdr:col>1</xdr:col>
      <xdr:colOff>49995</xdr:colOff>
      <xdr:row>32</xdr:row>
      <xdr:rowOff>167268</xdr:rowOff>
    </xdr:from>
    <xdr:to>
      <xdr:col>2</xdr:col>
      <xdr:colOff>400515</xdr:colOff>
      <xdr:row>34</xdr:row>
      <xdr:rowOff>95715</xdr:rowOff>
    </xdr:to>
    <xdr:sp macro="" textlink="">
      <xdr:nvSpPr>
        <xdr:cNvPr id="19" name="TextBox 18">
          <a:extLst>
            <a:ext uri="{FF2B5EF4-FFF2-40B4-BE49-F238E27FC236}">
              <a16:creationId xmlns:a16="http://schemas.microsoft.com/office/drawing/2014/main" id="{02280A6A-C8A2-4D3D-BE12-271883E2C33F}"/>
            </a:ext>
          </a:extLst>
        </xdr:cNvPr>
        <xdr:cNvSpPr txBox="1"/>
      </xdr:nvSpPr>
      <xdr:spPr>
        <a:xfrm>
          <a:off x="719068" y="6114585"/>
          <a:ext cx="1019593" cy="300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Happy</a:t>
          </a:r>
          <a:r>
            <a:rPr lang="en-IN" sz="1100" baseline="0">
              <a:solidFill>
                <a:schemeClr val="bg1"/>
              </a:solidFill>
              <a:latin typeface="+mj-lt"/>
            </a:rPr>
            <a:t> Callers</a:t>
          </a:r>
          <a:endParaRPr lang="en-IN" sz="1100">
            <a:solidFill>
              <a:schemeClr val="bg1"/>
            </a:solidFill>
            <a:latin typeface="+mj-lt"/>
          </a:endParaRPr>
        </a:p>
      </xdr:txBody>
    </xdr:sp>
    <xdr:clientData/>
  </xdr:twoCellAnchor>
  <xdr:twoCellAnchor editAs="oneCell">
    <xdr:from>
      <xdr:col>1</xdr:col>
      <xdr:colOff>26039</xdr:colOff>
      <xdr:row>33</xdr:row>
      <xdr:rowOff>27098</xdr:rowOff>
    </xdr:from>
    <xdr:to>
      <xdr:col>1</xdr:col>
      <xdr:colOff>267258</xdr:colOff>
      <xdr:row>34</xdr:row>
      <xdr:rowOff>85437</xdr:rowOff>
    </xdr:to>
    <xdr:pic>
      <xdr:nvPicPr>
        <xdr:cNvPr id="20" name="Graphic 19">
          <a:extLst>
            <a:ext uri="{FF2B5EF4-FFF2-40B4-BE49-F238E27FC236}">
              <a16:creationId xmlns:a16="http://schemas.microsoft.com/office/drawing/2014/main" id="{2C6540DA-40A0-4E2A-B7D5-B1EE82F04C7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rot="21045187">
          <a:off x="695112" y="6160269"/>
          <a:ext cx="241219" cy="244192"/>
        </a:xfrm>
        <a:prstGeom prst="rect">
          <a:avLst/>
        </a:prstGeom>
      </xdr:spPr>
    </xdr:pic>
    <xdr:clientData/>
  </xdr:twoCellAnchor>
  <xdr:twoCellAnchor>
    <xdr:from>
      <xdr:col>1</xdr:col>
      <xdr:colOff>156675</xdr:colOff>
      <xdr:row>36</xdr:row>
      <xdr:rowOff>61888</xdr:rowOff>
    </xdr:from>
    <xdr:to>
      <xdr:col>2</xdr:col>
      <xdr:colOff>377655</xdr:colOff>
      <xdr:row>37</xdr:row>
      <xdr:rowOff>46649</xdr:rowOff>
    </xdr:to>
    <xdr:sp macro="" textlink="pivots!E8">
      <xdr:nvSpPr>
        <xdr:cNvPr id="21" name="TextBox 20">
          <a:extLst>
            <a:ext uri="{FF2B5EF4-FFF2-40B4-BE49-F238E27FC236}">
              <a16:creationId xmlns:a16="http://schemas.microsoft.com/office/drawing/2014/main" id="{A2824CCD-1C82-4994-ADC1-EBAF894C87C4}"/>
            </a:ext>
          </a:extLst>
        </xdr:cNvPr>
        <xdr:cNvSpPr txBox="1"/>
      </xdr:nvSpPr>
      <xdr:spPr>
        <a:xfrm>
          <a:off x="825748" y="6752620"/>
          <a:ext cx="890053" cy="170614"/>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9277C9-C4A3-487F-B3F9-7A65397F5407}" type="TxLink">
            <a:rPr lang="en-US" sz="1100" b="1" i="0" u="none" strike="noStrike">
              <a:ln>
                <a:noFill/>
              </a:ln>
              <a:solidFill>
                <a:schemeClr val="bg1"/>
              </a:solidFill>
              <a:latin typeface="Aptos"/>
            </a:rPr>
            <a:pPr algn="ctr"/>
            <a:t>62</a:t>
          </a:fld>
          <a:endParaRPr lang="en-IN" sz="1100" b="1">
            <a:ln>
              <a:noFill/>
            </a:ln>
            <a:solidFill>
              <a:schemeClr val="bg1"/>
            </a:solidFill>
          </a:endParaRPr>
        </a:p>
      </xdr:txBody>
    </xdr:sp>
    <xdr:clientData/>
  </xdr:twoCellAnchor>
  <xdr:twoCellAnchor editAs="oneCell">
    <xdr:from>
      <xdr:col>9</xdr:col>
      <xdr:colOff>493220</xdr:colOff>
      <xdr:row>18</xdr:row>
      <xdr:rowOff>185779</xdr:rowOff>
    </xdr:from>
    <xdr:to>
      <xdr:col>11</xdr:col>
      <xdr:colOff>453196</xdr:colOff>
      <xdr:row>29</xdr:row>
      <xdr:rowOff>33908</xdr:rowOff>
    </xdr:to>
    <mc:AlternateContent xmlns:mc="http://schemas.openxmlformats.org/markup-compatibility/2006" xmlns:a14="http://schemas.microsoft.com/office/drawing/2010/main">
      <mc:Choice Requires="a14">
        <xdr:graphicFrame macro="">
          <xdr:nvGraphicFramePr>
            <xdr:cNvPr id="24" name="Representative">
              <a:extLst>
                <a:ext uri="{FF2B5EF4-FFF2-40B4-BE49-F238E27FC236}">
                  <a16:creationId xmlns:a16="http://schemas.microsoft.com/office/drawing/2014/main" id="{AE5CDC91-65C4-4F4E-A5C8-5351370C79F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481896" y="3469892"/>
              <a:ext cx="1022483" cy="1855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266700</xdr:colOff>
      <xdr:row>2</xdr:row>
      <xdr:rowOff>76200</xdr:rowOff>
    </xdr:from>
    <xdr:to>
      <xdr:col>8</xdr:col>
      <xdr:colOff>289560</xdr:colOff>
      <xdr:row>16</xdr:row>
      <xdr:rowOff>129540</xdr:rowOff>
    </xdr:to>
    <xdr:graphicFrame macro="">
      <xdr:nvGraphicFramePr>
        <xdr:cNvPr id="26" name="Chart 25">
          <a:extLst>
            <a:ext uri="{FF2B5EF4-FFF2-40B4-BE49-F238E27FC236}">
              <a16:creationId xmlns:a16="http://schemas.microsoft.com/office/drawing/2014/main" id="{4CC536CC-5CBF-4F16-AAB2-BED07AD0D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259080</xdr:colOff>
      <xdr:row>18</xdr:row>
      <xdr:rowOff>83820</xdr:rowOff>
    </xdr:from>
    <xdr:to>
      <xdr:col>6</xdr:col>
      <xdr:colOff>99060</xdr:colOff>
      <xdr:row>35</xdr:row>
      <xdr:rowOff>106680</xdr:rowOff>
    </xdr:to>
    <xdr:graphicFrame macro="">
      <xdr:nvGraphicFramePr>
        <xdr:cNvPr id="29" name="Chart 28">
          <a:extLst>
            <a:ext uri="{FF2B5EF4-FFF2-40B4-BE49-F238E27FC236}">
              <a16:creationId xmlns:a16="http://schemas.microsoft.com/office/drawing/2014/main" id="{C97FA688-DA9C-4AF5-B739-E475891BE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325244</xdr:colOff>
      <xdr:row>2</xdr:row>
      <xdr:rowOff>60961</xdr:rowOff>
    </xdr:from>
    <xdr:to>
      <xdr:col>16</xdr:col>
      <xdr:colOff>65047</xdr:colOff>
      <xdr:row>16</xdr:row>
      <xdr:rowOff>82378</xdr:rowOff>
    </xdr:to>
    <xdr:graphicFrame macro="">
      <xdr:nvGraphicFramePr>
        <xdr:cNvPr id="31" name="Chart 30">
          <a:extLst>
            <a:ext uri="{FF2B5EF4-FFF2-40B4-BE49-F238E27FC236}">
              <a16:creationId xmlns:a16="http://schemas.microsoft.com/office/drawing/2014/main" id="{80D4FBF0-3567-4474-BCBA-7FBCDCB41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381001</xdr:colOff>
      <xdr:row>2</xdr:row>
      <xdr:rowOff>131956</xdr:rowOff>
    </xdr:from>
    <xdr:to>
      <xdr:col>19</xdr:col>
      <xdr:colOff>632461</xdr:colOff>
      <xdr:row>16</xdr:row>
      <xdr:rowOff>96945</xdr:rowOff>
    </xdr:to>
    <xdr:graphicFrame macro="">
      <xdr:nvGraphicFramePr>
        <xdr:cNvPr id="32" name="Chart 31">
          <a:extLst>
            <a:ext uri="{FF2B5EF4-FFF2-40B4-BE49-F238E27FC236}">
              <a16:creationId xmlns:a16="http://schemas.microsoft.com/office/drawing/2014/main" id="{CA39B38E-DD42-4985-AD69-025493AD8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097020370369" backgroundQuery="1" createdVersion="8" refreshedVersion="8" minRefreshableVersion="3" recordCount="0" supportSubquery="1" supportAdvancedDrill="1" xr:uid="{1CC15C96-3E24-4519-B5D2-67006C6F94D4}">
  <cacheSource type="external" connectionId="1"/>
  <cacheFields count="5">
    <cacheField name="[Measures].[call count]" caption="call count" numFmtId="0" hierarchy="17" level="32767"/>
    <cacheField name="[Measures].[Total Amount]" caption="Total Amount" numFmtId="0" hierarchy="18" level="32767"/>
    <cacheField name="[Measures].[Avg Rating]" caption="Avg Rating" numFmtId="0" hierarchy="19" level="32767"/>
    <cacheField name="[Measures].[5*Calls]" caption="5*Calls" numFmtId="0" hierarchy="20" level="32767"/>
    <cacheField name="[Measures].[Sum of Duration]" caption="Sum of Duration" numFmtId="0" hierarchy="25"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g Rating]" caption="Avg Rating" measure="1" displayFolder="" measureGroup="calls" count="0" oneField="1">
      <fieldsUsage count="1">
        <fieldUsage x="2"/>
      </fieldsUsage>
    </cacheHierarchy>
    <cacheHierarchy uniqueName="[Measures].[5*Calls]" caption="5*Calls"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oneField="1" hidden="1">
      <fieldsUsage count="1">
        <fieldUsage x="4"/>
      </fieldsUsage>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097021875001" backgroundQuery="1" createdVersion="8" refreshedVersion="8" minRefreshableVersion="3" recordCount="0" supportSubquery="1" supportAdvancedDrill="1" xr:uid="{5E39C5E6-62C6-453C-9E01-18DAB9F867D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097023148148" backgroundQuery="1" createdVersion="8" refreshedVersion="8" minRefreshableVersion="3" recordCount="0" supportSubquery="1" supportAdvancedDrill="1" xr:uid="{3D59ED4F-F89E-445F-90B7-A9F7A3A6D5B2}">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687200347224" backgroundQuery="1" createdVersion="8" refreshedVersion="8" minRefreshableVersion="3" recordCount="0" supportSubquery="1" supportAdvancedDrill="1" xr:uid="{096D2BDB-EF6C-4F4D-AF1E-DC52E7D654B1}">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723005439817" backgroundQuery="1" createdVersion="8" refreshedVersion="8" minRefreshableVersion="3" recordCount="0" supportSubquery="1" supportAdvancedDrill="1" xr:uid="{E5795E8C-006A-4F57-A043-114A4C62267B}">
  <cacheSource type="external" connectionId="1"/>
  <cacheFields count="6">
    <cacheField name="[Measures].[call count]" caption="call count" numFmtId="0" hierarchy="17" level="32767"/>
    <cacheField name="[Measures].[Total Amount]" caption="Total Amount" numFmtId="0" hierarchy="18" level="32767"/>
    <cacheField name="[Measures].[Avg Rating]" caption="Avg Rating" numFmtId="0" hierarchy="19" level="32767"/>
    <cacheField name="[Measures].[5*Calls]" caption="5*Calls" numFmtId="0" hierarchy="20" level="32767"/>
    <cacheField name="[calls].[Representative].[Representative]" caption="Representative" numFmtId="0" hierarchy="3" level="1">
      <sharedItems containsSemiMixedTypes="0" containsNonDate="0" containsString="0"/>
    </cacheField>
    <cacheField name="[Measures].[Sum of Duration]" caption="Sum of Duration" numFmtId="0" hierarchy="25"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Avg Rating]" caption="Avg Rating" measure="1" displayFolder="" measureGroup="calls" count="0" oneField="1">
      <fieldsUsage count="1">
        <fieldUsage x="2"/>
      </fieldsUsage>
    </cacheHierarchy>
    <cacheHierarchy uniqueName="[Measures].[5*Calls]" caption="5*Calls"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oneField="1" hidden="1">
      <fieldsUsage count="1">
        <fieldUsage x="5"/>
      </fieldsUsage>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72300578704" backgroundQuery="1" createdVersion="8" refreshedVersion="8" minRefreshableVersion="3" recordCount="0" supportSubquery="1" supportAdvancedDrill="1" xr:uid="{993227BC-E24B-4119-85D0-FC71D017C64B}">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Dummy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723006134256" backgroundQuery="1" createdVersion="8" refreshedVersion="8" minRefreshableVersion="3" recordCount="0" supportSubquery="1" supportAdvancedDrill="1" xr:uid="{B6960182-E14A-4731-9C4C-D693B1E28C4D}">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723006597225" backgroundQuery="1" createdVersion="8" refreshedVersion="8" minRefreshableVersion="3" recordCount="0" supportSubquery="1" supportAdvancedDrill="1" xr:uid="{CA9E5228-B075-4C61-BC1D-DA8D2B2F1142}">
  <cacheSource type="external" connectionId="1"/>
  <cacheFields count="1">
    <cacheField name="[calls].[Representative].[Representative]" caption="Representative" numFmtId="0" hierarchy="3" level="1">
      <sharedItems count="1">
        <s v="R04"/>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723006944441" backgroundQuery="1" createdVersion="8" refreshedVersion="8" minRefreshableVersion="3" recordCount="0" supportSubquery="1" supportAdvancedDrill="1" xr:uid="{EB62AE52-9605-4284-BA4B-212E0818C734}">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dupudi Krishnapriya" refreshedDate="45761.097006365744" backgroundQuery="1" createdVersion="3" refreshedVersion="8" minRefreshableVersion="3" recordCount="0" supportSubquery="1" supportAdvancedDrill="1" xr:uid="{CBB048BE-110E-44BC-B2F8-D61173A590A9}">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4364962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B631B5-E82A-41D5-953B-81D288AFCC5F}" name="selected rep" cacheId="6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location ref="A74:A75" firstHeaderRow="1" firstDataRow="1" firstDataCol="1"/>
  <pivotFields count="1">
    <pivotField axis="axisRow" allDrilled="1" showAll="0" dataSourceSort="1" defaultAttributeDrillState="1">
      <items count="2">
        <item s="1" x="0"/>
        <item t="default"/>
      </items>
    </pivotField>
  </pivotFields>
  <rowFields count="1">
    <field x="0"/>
  </rowFields>
  <rowItems count="1">
    <i>
      <x/>
    </i>
  </rowItems>
  <formats count="1">
    <format dxfId="31">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25E105-9C75-4353-829B-9DE1D6D9ABED}" name="Rep Amount" cacheId="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9">
  <location ref="A95:G114" firstHeaderRow="1" firstDataRow="2" firstDataCol="1"/>
  <pivotFields count="4">
    <pivotField axis="axisCol" allDrilled="1" showAll="0" dataSourceSort="1" defaultAttributeDrillState="1">
      <items count="6">
        <item x="0"/>
        <item x="1"/>
        <item x="2"/>
        <item x="3"/>
        <item x="4"/>
        <item t="default"/>
      </items>
    </pivotField>
    <pivotField axis="axisRow" allDrilled="1" showAll="0" defaultAttributeDrillState="1">
      <items count="4">
        <item x="0"/>
        <item x="1"/>
        <item x="2"/>
        <item t="default"/>
      </items>
    </pivotField>
    <pivotField axis="axisRow" allDrilled="1" showAll="0" dataSourceSort="1" defaultAttributeDrillState="1">
      <items count="16">
        <item x="0"/>
        <item x="1"/>
        <item x="2"/>
        <item x="3"/>
        <item x="4"/>
        <item x="5"/>
        <item x="6"/>
        <item x="7"/>
        <item x="8"/>
        <item x="9"/>
        <item x="10"/>
        <item x="11"/>
        <item x="12"/>
        <item x="13"/>
        <item x="14"/>
        <item t="default"/>
      </items>
    </pivotField>
    <pivotField dataField="1" showAl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DE0CCF-B565-4B29-9F3B-42E39EAE55AE}" name="Rep Satisfaction" cacheId="7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9">
  <location ref="A87:B93"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B0F961-A591-436D-AB7F-51D0FC738DA0}" name="Female Vs. male callers" cacheId="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4">
  <location ref="F43:I48"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DB49FC-55A4-491D-B0FB-84A37E098BA9}" name="Representative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63:C69"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0C4DA2-2520-423B-AA33-D156D05F1842}" name="montly trend" cacheId="6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7">
  <location ref="A24:C37" firstHeaderRow="0" firstDataRow="1" firstDataCol="1"/>
  <pivotFields count="5">
    <pivotField allDrilled="1" showAll="0" dataSourceSort="1" defaultAttributeDrillState="1"/>
    <pivotField axis="axisRow" allDrilled="1" showAll="0" dataSourceSort="1" defaultAttributeDrillState="1">
      <items count="1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CA2EE3-A7EF-496D-8618-155C3E39F595}"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6"/>
    <dataField name="Sum of Duration" fld="4" baseField="0" baseItem="0"/>
    <dataField fld="2" subtotal="count" baseField="0" baseItem="0"/>
    <dataField fld="3" subtotal="count" baseField="0" baseItem="0"/>
  </dataFields>
  <formats count="2">
    <format dxfId="33">
      <pivotArea outline="0" collapsedLevelsAreSubtotals="1" fieldPosition="0">
        <references count="1">
          <reference field="4294967294" count="1" selected="0">
            <x v="1"/>
          </reference>
        </references>
      </pivotArea>
    </format>
    <format dxfId="32">
      <pivotArea dataOnly="0" labelOnly="1" outline="0" fieldPosition="0">
        <references count="1">
          <reference field="4294967294" count="1">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F507FF-4260-4846-BCFE-EBD4E7529523}" name="weekday trend" cacheId="65"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7">
  <location ref="G24:H32" firstHeaderRow="1" firstDataRow="1" firstDataCol="1"/>
  <pivotFields count="3">
    <pivotField allDrilled="1" showAll="0" dataSourceSort="1" defaultAttributeDrillState="1"/>
    <pivotField axis="axisRow" allDrilled="1" showAll="0" sortType="descending" defaultAttributeDrillState="1">
      <items count="8">
        <item x="2"/>
        <item x="0"/>
        <item x="4"/>
        <item x="6"/>
        <item x="5"/>
        <item x="1"/>
        <item x="3"/>
        <item t="default"/>
      </items>
    </pivotField>
    <pivotField dataField="1" showAl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9B28D2-59C9-4F80-A3D5-451073408F0D}" name="rep pivot" cacheId="59"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7:E8" firstHeaderRow="0" firstDataRow="1" firstDataCol="0"/>
  <pivotFields count="6">
    <pivotField dataField="1" showAll="0"/>
    <pivotField dataField="1" showAll="0"/>
    <pivotField dataField="1" showAll="0"/>
    <pivotField dataField="1" showAll="0"/>
    <pivotField allDrilled="1" showAll="0" dataSourceSort="1" defaultAttributeDrillState="1"/>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3" numFmtId="167"/>
    <dataField name="Sum of Duration" fld="5" baseField="0" baseItem="0"/>
    <dataField fld="2" subtotal="count" baseField="0" baseItem="0"/>
    <dataField fld="3" subtotal="count" baseField="0" baseItem="0"/>
  </dataFields>
  <formats count="3">
    <format dxfId="36">
      <pivotArea outline="0" collapsedLevelsAreSubtotals="1" fieldPosition="0">
        <references count="1">
          <reference field="4294967294" count="1" selected="0">
            <x v="1"/>
          </reference>
        </references>
      </pivotArea>
    </format>
    <format dxfId="35">
      <pivotArea dataOnly="0" labelOnly="1" outline="0" fieldPosition="0">
        <references count="1">
          <reference field="4294967294" count="1">
            <x v="1"/>
          </reference>
        </references>
      </pivotArea>
    </format>
    <format dxfId="34">
      <pivotArea outline="0" fieldPosition="0">
        <references count="1">
          <reference field="4294967294" count="1">
            <x v="1"/>
          </reference>
        </references>
      </pivotArea>
    </format>
  </formats>
  <pivotHierarchies count="28">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2B3D14DC-6775-4B58-8C8D-B0F927306B2C}" sourceName="[calls].[Representative]">
  <pivotTables>
    <pivotTable tabId="6" name="rep pivot"/>
    <pivotTable tabId="6" name="montly trend"/>
    <pivotTable tabId="6" name="weekday trend"/>
    <pivotTable tabId="6" name="selected rep"/>
    <pivotTable tabId="6" name="Rep Satisfaction"/>
  </pivotTables>
  <data>
    <olap pivotCacheId="143649628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5DFC1488-EB91-4671-876F-13E312B847D3}"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3D465D02-D4AB-4879-9174-6C6C45385A3B}" cache="Slicer_Representative" caption="Representative" level="1"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30"/>
    <tableColumn id="5" xr3:uid="{5A35565E-8707-4DED-AD15-A0669D67B382}" name="Date of Call" dataDxfId="29"/>
    <tableColumn id="6" xr3:uid="{F2E4F158-B41F-47BC-8DF8-DFCADFEE4E40}" name="Purchase Amount"/>
    <tableColumn id="7" xr3:uid="{04B291B5-47BD-4F78-8FD8-D1551CCA6BD9}" name="Satisfaction Rating"/>
    <tableColumn id="8" xr3:uid="{6E4123C0-0B17-43B8-A142-A1E540CE974C}" name="FY" dataDxfId="28">
      <calculatedColumnFormula>IF(MONTH(calls[[#This Row],[Date of Call]])&lt;=6, YEAR(calls[[#This Row],[Date of Call]]), YEAR(calls[[#This Row],[Date of Call]])+1)</calculatedColumnFormula>
    </tableColumn>
    <tableColumn id="9" xr3:uid="{199FA271-5E9B-46CE-9BC6-2801F92CD17E}" name="Day of week" dataDxfId="27">
      <calculatedColumnFormula>TEXT(calls[[#This Row],[Date of Call]],"DDDD")</calculatedColumnFormula>
    </tableColumn>
    <tableColumn id="10" xr3:uid="{328CDB09-95B8-4D5E-9ED9-EF0D363735A1}" name="Duration Bucket" dataDxfId="2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4" headerRowBorderDxfId="23" tableBorderDxfId="22" totalsRowBorderDxfId="21">
  <autoFilter ref="Q3:T18" xr:uid="{27158F51-A707-4171-8A04-81FB0AABCBA5}"/>
  <tableColumns count="4">
    <tableColumn id="1" xr3:uid="{02688061-6A8C-4E23-B7FF-D00CD8B58CAC}" name="Customer ID" dataDxfId="20"/>
    <tableColumn id="2" xr3:uid="{771678B6-DB44-426B-9874-B4E421A440D5}" name="Gedner" dataDxfId="19"/>
    <tableColumn id="3" xr3:uid="{B0D41C62-587E-494D-B49A-603F2C05F8D3}" name="Age" dataDxfId="18"/>
    <tableColumn id="4" xr3:uid="{663F92D6-FE31-4D81-9E01-8D066DDC8A88}" name="City" dataDxf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1808C-F51B-4E10-B4CC-522A70B4CBED}">
  <dimension ref="A3:J140"/>
  <sheetViews>
    <sheetView topLeftCell="A80" workbookViewId="0">
      <selection activeCell="B99" sqref="B99"/>
    </sheetView>
  </sheetViews>
  <sheetFormatPr defaultRowHeight="14.4" x14ac:dyDescent="0.3"/>
  <cols>
    <col min="1" max="1" width="12.19921875" bestFit="1" customWidth="1"/>
    <col min="2" max="2" width="8.8984375" style="22" bestFit="1" customWidth="1"/>
    <col min="3" max="3" width="9.8984375" bestFit="1" customWidth="1"/>
    <col min="4" max="4" width="9.296875" bestFit="1" customWidth="1"/>
    <col min="5" max="5" width="6.8984375" bestFit="1" customWidth="1"/>
    <col min="6" max="6" width="6.3984375" bestFit="1" customWidth="1"/>
    <col min="7" max="7" width="12.19921875" bestFit="1" customWidth="1"/>
    <col min="8" max="8" width="8.8984375" bestFit="1" customWidth="1"/>
    <col min="9" max="9" width="10.3984375" bestFit="1" customWidth="1"/>
    <col min="10" max="10" width="12" customWidth="1"/>
  </cols>
  <sheetData>
    <row r="3" spans="1:5" x14ac:dyDescent="0.3">
      <c r="A3" t="s">
        <v>1042</v>
      </c>
      <c r="B3" s="22" t="s">
        <v>1043</v>
      </c>
      <c r="C3" t="s">
        <v>1046</v>
      </c>
      <c r="D3" t="s">
        <v>1044</v>
      </c>
      <c r="E3" t="s">
        <v>1045</v>
      </c>
    </row>
    <row r="4" spans="1:5" x14ac:dyDescent="0.3">
      <c r="A4" s="20">
        <v>1000</v>
      </c>
      <c r="B4" s="22">
        <v>96623</v>
      </c>
      <c r="C4">
        <v>89850</v>
      </c>
      <c r="D4" s="21">
        <v>3.8854000000000033</v>
      </c>
      <c r="E4" s="20">
        <v>307</v>
      </c>
    </row>
    <row r="7" spans="1:5" x14ac:dyDescent="0.3">
      <c r="A7" t="s">
        <v>1042</v>
      </c>
      <c r="B7" s="22" t="s">
        <v>1043</v>
      </c>
      <c r="C7" t="s">
        <v>1046</v>
      </c>
      <c r="D7" t="s">
        <v>1044</v>
      </c>
      <c r="E7" t="s">
        <v>1045</v>
      </c>
    </row>
    <row r="8" spans="1:5" x14ac:dyDescent="0.3">
      <c r="A8" s="20">
        <v>186</v>
      </c>
      <c r="B8" s="25">
        <v>16651</v>
      </c>
      <c r="C8" s="50">
        <v>17807</v>
      </c>
      <c r="D8" s="21">
        <v>3.8973118279569863</v>
      </c>
      <c r="E8" s="20">
        <v>62</v>
      </c>
    </row>
    <row r="24" spans="1:8" x14ac:dyDescent="0.3">
      <c r="A24" s="23" t="s">
        <v>1047</v>
      </c>
      <c r="B24" t="s">
        <v>1042</v>
      </c>
      <c r="C24" t="s">
        <v>1061</v>
      </c>
      <c r="G24" s="23" t="s">
        <v>1047</v>
      </c>
      <c r="H24" t="s">
        <v>1042</v>
      </c>
    </row>
    <row r="25" spans="1:8" x14ac:dyDescent="0.3">
      <c r="A25" s="26" t="s">
        <v>1049</v>
      </c>
      <c r="B25" s="20">
        <v>10</v>
      </c>
      <c r="C25" s="20">
        <v>10</v>
      </c>
      <c r="G25" s="26" t="s">
        <v>1064</v>
      </c>
      <c r="H25" s="20">
        <v>34</v>
      </c>
    </row>
    <row r="26" spans="1:8" x14ac:dyDescent="0.3">
      <c r="A26" s="26" t="s">
        <v>1050</v>
      </c>
      <c r="B26" s="20">
        <v>11</v>
      </c>
      <c r="C26" s="20">
        <v>11</v>
      </c>
      <c r="G26" s="26" t="s">
        <v>1062</v>
      </c>
      <c r="H26" s="20">
        <v>29</v>
      </c>
    </row>
    <row r="27" spans="1:8" x14ac:dyDescent="0.3">
      <c r="A27" s="26" t="s">
        <v>1051</v>
      </c>
      <c r="B27" s="20">
        <v>30</v>
      </c>
      <c r="C27" s="20">
        <v>30</v>
      </c>
      <c r="G27" s="26" t="s">
        <v>1066</v>
      </c>
      <c r="H27" s="20">
        <v>18</v>
      </c>
    </row>
    <row r="28" spans="1:8" x14ac:dyDescent="0.3">
      <c r="A28" s="26" t="s">
        <v>1052</v>
      </c>
      <c r="B28" s="20">
        <v>23</v>
      </c>
      <c r="C28" s="20">
        <v>23</v>
      </c>
      <c r="G28" s="26" t="s">
        <v>1068</v>
      </c>
      <c r="H28" s="20">
        <v>29</v>
      </c>
    </row>
    <row r="29" spans="1:8" x14ac:dyDescent="0.3">
      <c r="A29" s="26" t="s">
        <v>1053</v>
      </c>
      <c r="B29" s="20">
        <v>22</v>
      </c>
      <c r="C29" s="20">
        <v>22</v>
      </c>
      <c r="G29" s="26" t="s">
        <v>1067</v>
      </c>
      <c r="H29" s="20">
        <v>28</v>
      </c>
    </row>
    <row r="30" spans="1:8" x14ac:dyDescent="0.3">
      <c r="A30" s="26" t="s">
        <v>1054</v>
      </c>
      <c r="B30" s="20">
        <v>11</v>
      </c>
      <c r="C30" s="20">
        <v>11</v>
      </c>
      <c r="G30" s="26" t="s">
        <v>1063</v>
      </c>
      <c r="H30" s="20">
        <v>23</v>
      </c>
    </row>
    <row r="31" spans="1:8" x14ac:dyDescent="0.3">
      <c r="A31" s="26" t="s">
        <v>1055</v>
      </c>
      <c r="B31" s="20">
        <v>17</v>
      </c>
      <c r="C31" s="20">
        <v>17</v>
      </c>
      <c r="G31" s="26" t="s">
        <v>1065</v>
      </c>
      <c r="H31" s="20">
        <v>25</v>
      </c>
    </row>
    <row r="32" spans="1:8" x14ac:dyDescent="0.3">
      <c r="A32" s="26" t="s">
        <v>1056</v>
      </c>
      <c r="B32" s="20">
        <v>12</v>
      </c>
      <c r="C32" s="20">
        <v>12</v>
      </c>
      <c r="G32" s="26" t="s">
        <v>1048</v>
      </c>
      <c r="H32" s="20">
        <v>186</v>
      </c>
    </row>
    <row r="33" spans="1:9" x14ac:dyDescent="0.3">
      <c r="A33" s="26" t="s">
        <v>1057</v>
      </c>
      <c r="B33" s="20">
        <v>13</v>
      </c>
      <c r="C33" s="20">
        <v>13</v>
      </c>
    </row>
    <row r="34" spans="1:9" x14ac:dyDescent="0.3">
      <c r="A34" s="26" t="s">
        <v>1058</v>
      </c>
      <c r="B34" s="20">
        <v>15</v>
      </c>
      <c r="C34" s="20">
        <v>15</v>
      </c>
    </row>
    <row r="35" spans="1:9" x14ac:dyDescent="0.3">
      <c r="A35" s="26" t="s">
        <v>1059</v>
      </c>
      <c r="B35" s="20">
        <v>8</v>
      </c>
      <c r="C35" s="20">
        <v>8</v>
      </c>
    </row>
    <row r="36" spans="1:9" x14ac:dyDescent="0.3">
      <c r="A36" s="26" t="s">
        <v>1060</v>
      </c>
      <c r="B36" s="20">
        <v>14</v>
      </c>
      <c r="C36" s="20">
        <v>14</v>
      </c>
    </row>
    <row r="37" spans="1:9" x14ac:dyDescent="0.3">
      <c r="A37" s="26" t="s">
        <v>1048</v>
      </c>
      <c r="B37" s="20">
        <v>186</v>
      </c>
      <c r="C37" s="20">
        <v>186</v>
      </c>
    </row>
    <row r="38" spans="1:9" x14ac:dyDescent="0.3">
      <c r="B38"/>
    </row>
    <row r="39" spans="1:9" x14ac:dyDescent="0.3">
      <c r="B39"/>
    </row>
    <row r="40" spans="1:9" x14ac:dyDescent="0.3">
      <c r="B40"/>
    </row>
    <row r="41" spans="1:9" x14ac:dyDescent="0.3">
      <c r="B41"/>
    </row>
    <row r="43" spans="1:9" x14ac:dyDescent="0.3">
      <c r="B43"/>
      <c r="F43" s="23" t="s">
        <v>1042</v>
      </c>
      <c r="G43" s="23" t="s">
        <v>1076</v>
      </c>
    </row>
    <row r="44" spans="1:9" x14ac:dyDescent="0.3">
      <c r="B44"/>
      <c r="F44" s="23" t="s">
        <v>1047</v>
      </c>
      <c r="G44" t="s">
        <v>999</v>
      </c>
      <c r="H44" t="s">
        <v>998</v>
      </c>
      <c r="I44" t="s">
        <v>1048</v>
      </c>
    </row>
    <row r="45" spans="1:9" x14ac:dyDescent="0.3">
      <c r="B45"/>
      <c r="F45" s="26" t="s">
        <v>1002</v>
      </c>
      <c r="G45" s="20">
        <v>144</v>
      </c>
      <c r="H45" s="20">
        <v>132</v>
      </c>
      <c r="I45" s="20">
        <v>276</v>
      </c>
    </row>
    <row r="46" spans="1:9" x14ac:dyDescent="0.3">
      <c r="B46"/>
      <c r="F46" s="26" t="s">
        <v>1001</v>
      </c>
      <c r="G46" s="20">
        <v>326</v>
      </c>
      <c r="H46" s="20">
        <v>63</v>
      </c>
      <c r="I46" s="20">
        <v>389</v>
      </c>
    </row>
    <row r="47" spans="1:9" x14ac:dyDescent="0.3">
      <c r="B47"/>
      <c r="F47" s="26" t="s">
        <v>1000</v>
      </c>
      <c r="G47" s="20">
        <v>129</v>
      </c>
      <c r="H47" s="20">
        <v>206</v>
      </c>
      <c r="I47" s="20">
        <v>335</v>
      </c>
    </row>
    <row r="48" spans="1:9" x14ac:dyDescent="0.3">
      <c r="B48"/>
      <c r="F48" s="26" t="s">
        <v>1048</v>
      </c>
      <c r="G48" s="20">
        <v>599</v>
      </c>
      <c r="H48" s="20">
        <v>401</v>
      </c>
      <c r="I48" s="20">
        <v>1000</v>
      </c>
    </row>
    <row r="49" spans="1:10" x14ac:dyDescent="0.3">
      <c r="B49"/>
    </row>
    <row r="50" spans="1:10" x14ac:dyDescent="0.3">
      <c r="B50"/>
    </row>
    <row r="51" spans="1:10" x14ac:dyDescent="0.3">
      <c r="B51"/>
    </row>
    <row r="52" spans="1:10" x14ac:dyDescent="0.3">
      <c r="B52"/>
    </row>
    <row r="53" spans="1:10" x14ac:dyDescent="0.3">
      <c r="B53"/>
    </row>
    <row r="54" spans="1:10" x14ac:dyDescent="0.3">
      <c r="B54"/>
    </row>
    <row r="55" spans="1:10" x14ac:dyDescent="0.3">
      <c r="B55"/>
    </row>
    <row r="56" spans="1:10" x14ac:dyDescent="0.3">
      <c r="B56"/>
    </row>
    <row r="57" spans="1:10" x14ac:dyDescent="0.3">
      <c r="B57"/>
    </row>
    <row r="58" spans="1:10" x14ac:dyDescent="0.3">
      <c r="B58"/>
    </row>
    <row r="59" spans="1:10" x14ac:dyDescent="0.3">
      <c r="B59"/>
    </row>
    <row r="60" spans="1:10" x14ac:dyDescent="0.3">
      <c r="B60"/>
    </row>
    <row r="61" spans="1:10" x14ac:dyDescent="0.3">
      <c r="F61" t="s">
        <v>1069</v>
      </c>
      <c r="I61" t="s">
        <v>1075</v>
      </c>
      <c r="J61" t="str">
        <f>pivots!A75</f>
        <v>R04</v>
      </c>
    </row>
    <row r="62" spans="1:10" x14ac:dyDescent="0.3">
      <c r="F62" t="s">
        <v>1070</v>
      </c>
      <c r="G62" t="s">
        <v>1071</v>
      </c>
      <c r="H62" t="s">
        <v>1072</v>
      </c>
      <c r="I62" t="s">
        <v>1073</v>
      </c>
      <c r="J62" t="s">
        <v>1074</v>
      </c>
    </row>
    <row r="63" spans="1:10" x14ac:dyDescent="0.3">
      <c r="A63" s="23" t="s">
        <v>1047</v>
      </c>
      <c r="B63" t="s">
        <v>1042</v>
      </c>
      <c r="C63" t="s">
        <v>1043</v>
      </c>
      <c r="F63" t="str" cm="1">
        <f t="array" ref="F63:H67">A64:C68</f>
        <v>R01</v>
      </c>
      <c r="G63">
        <v>189</v>
      </c>
      <c r="H63" s="28">
        <v>18415</v>
      </c>
      <c r="I63" t="e">
        <f>IF(F63=$J$61,G63,NA())</f>
        <v>#N/A</v>
      </c>
      <c r="J63" t="e">
        <f>IF(F63=$J$61,H63,NA())</f>
        <v>#N/A</v>
      </c>
    </row>
    <row r="64" spans="1:10" x14ac:dyDescent="0.3">
      <c r="A64" s="26" t="s">
        <v>11</v>
      </c>
      <c r="B64" s="20">
        <v>189</v>
      </c>
      <c r="C64" s="27">
        <v>18415</v>
      </c>
      <c r="F64" t="str">
        <v>R02</v>
      </c>
      <c r="G64">
        <v>218</v>
      </c>
      <c r="H64" s="28">
        <v>20581</v>
      </c>
      <c r="I64" t="e">
        <f t="shared" ref="I64:I67" si="0">IF(F64=$J$61,G64,NA())</f>
        <v>#N/A</v>
      </c>
      <c r="J64" t="e">
        <f t="shared" ref="J64:J67" si="1">IF(F64=$J$61,H64,NA())</f>
        <v>#N/A</v>
      </c>
    </row>
    <row r="65" spans="1:10" x14ac:dyDescent="0.3">
      <c r="A65" s="26" t="s">
        <v>9</v>
      </c>
      <c r="B65" s="20">
        <v>218</v>
      </c>
      <c r="C65" s="27">
        <v>20581</v>
      </c>
      <c r="F65" t="str">
        <v>R03</v>
      </c>
      <c r="G65">
        <v>207</v>
      </c>
      <c r="H65" s="28">
        <v>20872</v>
      </c>
      <c r="I65" t="e">
        <f t="shared" si="0"/>
        <v>#N/A</v>
      </c>
      <c r="J65" t="e">
        <f t="shared" si="1"/>
        <v>#N/A</v>
      </c>
    </row>
    <row r="66" spans="1:10" x14ac:dyDescent="0.3">
      <c r="A66" s="26" t="s">
        <v>6</v>
      </c>
      <c r="B66" s="20">
        <v>207</v>
      </c>
      <c r="C66" s="27">
        <v>20872</v>
      </c>
      <c r="F66" t="str">
        <v>R04</v>
      </c>
      <c r="G66">
        <v>186</v>
      </c>
      <c r="H66" s="28">
        <v>16651</v>
      </c>
      <c r="I66">
        <f t="shared" si="0"/>
        <v>186</v>
      </c>
      <c r="J66">
        <f t="shared" si="1"/>
        <v>16651</v>
      </c>
    </row>
    <row r="67" spans="1:10" x14ac:dyDescent="0.3">
      <c r="A67" s="26" t="s">
        <v>13</v>
      </c>
      <c r="B67" s="20">
        <v>186</v>
      </c>
      <c r="C67" s="27">
        <v>16651</v>
      </c>
      <c r="F67" t="str">
        <v>R05</v>
      </c>
      <c r="G67">
        <v>200</v>
      </c>
      <c r="H67" s="28">
        <v>20104</v>
      </c>
      <c r="I67" t="e">
        <f t="shared" si="0"/>
        <v>#N/A</v>
      </c>
      <c r="J67" t="e">
        <f t="shared" si="1"/>
        <v>#N/A</v>
      </c>
    </row>
    <row r="68" spans="1:10" x14ac:dyDescent="0.3">
      <c r="A68" s="26" t="s">
        <v>10</v>
      </c>
      <c r="B68" s="20">
        <v>200</v>
      </c>
      <c r="C68" s="27">
        <v>20104</v>
      </c>
    </row>
    <row r="69" spans="1:10" x14ac:dyDescent="0.3">
      <c r="A69" s="26" t="s">
        <v>1048</v>
      </c>
      <c r="B69" s="20">
        <v>1000</v>
      </c>
      <c r="C69" s="27">
        <v>96623</v>
      </c>
    </row>
    <row r="70" spans="1:10" x14ac:dyDescent="0.3">
      <c r="B70"/>
    </row>
    <row r="71" spans="1:10" x14ac:dyDescent="0.3">
      <c r="B71"/>
    </row>
    <row r="72" spans="1:10" x14ac:dyDescent="0.3">
      <c r="B72"/>
    </row>
    <row r="73" spans="1:10" x14ac:dyDescent="0.3">
      <c r="B73"/>
    </row>
    <row r="74" spans="1:10" x14ac:dyDescent="0.3">
      <c r="A74" s="23" t="s">
        <v>1047</v>
      </c>
      <c r="B74"/>
      <c r="G74" t="s">
        <v>1078</v>
      </c>
    </row>
    <row r="75" spans="1:10" x14ac:dyDescent="0.3">
      <c r="A75" s="51" t="s">
        <v>13</v>
      </c>
      <c r="B75"/>
      <c r="G75" t="s">
        <v>1079</v>
      </c>
      <c r="H75" s="31">
        <f>A8/A4</f>
        <v>0.186</v>
      </c>
    </row>
    <row r="76" spans="1:10" x14ac:dyDescent="0.3">
      <c r="B76"/>
      <c r="G76" t="s">
        <v>1080</v>
      </c>
      <c r="H76">
        <f>_xlfn.XLOOKUP(A75,F63:F67,G63:G67)</f>
        <v>186</v>
      </c>
    </row>
    <row r="77" spans="1:10" x14ac:dyDescent="0.3">
      <c r="B77"/>
      <c r="G77" t="s">
        <v>1081</v>
      </c>
      <c r="H77">
        <f>_xlfn.XLOOKUP(A75,F63:F67,H63:H67)</f>
        <v>16651</v>
      </c>
    </row>
    <row r="78" spans="1:10" x14ac:dyDescent="0.3">
      <c r="B78"/>
    </row>
    <row r="80" spans="1:10" x14ac:dyDescent="0.3">
      <c r="G80" t="s">
        <v>1080</v>
      </c>
      <c r="H80">
        <f>_xlfn.RANK.AVG(H76,G63:G67)</f>
        <v>5</v>
      </c>
    </row>
    <row r="81" spans="1:8" x14ac:dyDescent="0.3">
      <c r="G81" t="s">
        <v>1081</v>
      </c>
      <c r="H81">
        <f>_xlfn.RANK.AVG(H77,H63:H67)</f>
        <v>5</v>
      </c>
    </row>
    <row r="83" spans="1:8" x14ac:dyDescent="0.3">
      <c r="G83" t="s">
        <v>1082</v>
      </c>
    </row>
    <row r="84" spans="1:8" x14ac:dyDescent="0.3">
      <c r="H84" t="str">
        <f>"%of calls:"&amp;TEXT(H75,"0%")</f>
        <v>%of calls:19%</v>
      </c>
    </row>
    <row r="85" spans="1:8" x14ac:dyDescent="0.3">
      <c r="B85"/>
      <c r="H85" t="str">
        <f>IF(COUNTA(A75:A79)&gt;1,"","call rank:"&amp;H80)</f>
        <v>call rank:5</v>
      </c>
    </row>
    <row r="86" spans="1:8" x14ac:dyDescent="0.3">
      <c r="B86"/>
      <c r="H86" t="str">
        <f>IF(COUNTA(A75:A79)&gt;1,"","Amount rank:"&amp;H81)</f>
        <v>Amount rank:5</v>
      </c>
    </row>
    <row r="87" spans="1:8" x14ac:dyDescent="0.3">
      <c r="A87" s="23" t="s">
        <v>1047</v>
      </c>
      <c r="B87" t="s">
        <v>1042</v>
      </c>
    </row>
    <row r="88" spans="1:8" x14ac:dyDescent="0.3">
      <c r="A88" s="26">
        <v>1</v>
      </c>
      <c r="B88" s="20">
        <v>3</v>
      </c>
    </row>
    <row r="89" spans="1:8" x14ac:dyDescent="0.3">
      <c r="A89" s="26">
        <v>2</v>
      </c>
      <c r="B89" s="20">
        <v>10</v>
      </c>
      <c r="G89" t="s">
        <v>1083</v>
      </c>
    </row>
    <row r="90" spans="1:8" x14ac:dyDescent="0.3">
      <c r="A90" s="26">
        <v>3</v>
      </c>
      <c r="B90" s="20">
        <v>41</v>
      </c>
    </row>
    <row r="91" spans="1:8" x14ac:dyDescent="0.3">
      <c r="A91" s="26">
        <v>4</v>
      </c>
      <c r="B91" s="20">
        <v>70</v>
      </c>
    </row>
    <row r="92" spans="1:8" x14ac:dyDescent="0.3">
      <c r="A92" s="26">
        <v>5</v>
      </c>
      <c r="B92" s="20">
        <v>62</v>
      </c>
    </row>
    <row r="93" spans="1:8" x14ac:dyDescent="0.3">
      <c r="A93" s="26" t="s">
        <v>1048</v>
      </c>
      <c r="B93" s="20">
        <v>186</v>
      </c>
    </row>
    <row r="94" spans="1:8" x14ac:dyDescent="0.3">
      <c r="B94"/>
    </row>
    <row r="95" spans="1:8" x14ac:dyDescent="0.3">
      <c r="A95" s="23" t="s">
        <v>1043</v>
      </c>
      <c r="B95" s="23" t="s">
        <v>1076</v>
      </c>
    </row>
    <row r="96" spans="1:8" x14ac:dyDescent="0.3">
      <c r="A96" s="23" t="s">
        <v>1047</v>
      </c>
      <c r="B96" t="s">
        <v>11</v>
      </c>
      <c r="C96" t="s">
        <v>9</v>
      </c>
      <c r="D96" t="s">
        <v>6</v>
      </c>
      <c r="E96" t="s">
        <v>13</v>
      </c>
      <c r="F96" t="s">
        <v>10</v>
      </c>
      <c r="G96" t="s">
        <v>1048</v>
      </c>
    </row>
    <row r="97" spans="1:7" x14ac:dyDescent="0.3">
      <c r="A97" s="26" t="s">
        <v>1002</v>
      </c>
      <c r="B97" s="27">
        <v>5483</v>
      </c>
      <c r="C97" s="27">
        <v>6014</v>
      </c>
      <c r="D97" s="27">
        <v>4970</v>
      </c>
      <c r="E97" s="27">
        <v>3495</v>
      </c>
      <c r="F97" s="27">
        <v>6099</v>
      </c>
      <c r="G97" s="27">
        <v>26061</v>
      </c>
    </row>
    <row r="98" spans="1:7" x14ac:dyDescent="0.3">
      <c r="A98" s="29" t="s">
        <v>20</v>
      </c>
      <c r="B98" s="27">
        <v>891</v>
      </c>
      <c r="C98" s="27">
        <v>1332</v>
      </c>
      <c r="D98" s="27">
        <v>1282</v>
      </c>
      <c r="E98" s="27">
        <v>739</v>
      </c>
      <c r="F98" s="27">
        <v>560</v>
      </c>
      <c r="G98" s="27">
        <v>4804</v>
      </c>
    </row>
    <row r="99" spans="1:7" x14ac:dyDescent="0.3">
      <c r="A99" s="29" t="s">
        <v>12</v>
      </c>
      <c r="B99" s="27">
        <v>1991</v>
      </c>
      <c r="C99" s="27">
        <v>1886</v>
      </c>
      <c r="D99" s="27">
        <v>1206</v>
      </c>
      <c r="E99" s="27">
        <v>884</v>
      </c>
      <c r="F99" s="27">
        <v>1722</v>
      </c>
      <c r="G99" s="27">
        <v>7689</v>
      </c>
    </row>
    <row r="100" spans="1:7" x14ac:dyDescent="0.3">
      <c r="A100" s="29" t="s">
        <v>8</v>
      </c>
      <c r="B100" s="27">
        <v>1163</v>
      </c>
      <c r="C100" s="27">
        <v>1180</v>
      </c>
      <c r="D100" s="27">
        <v>1616</v>
      </c>
      <c r="E100" s="27">
        <v>1043</v>
      </c>
      <c r="F100" s="27">
        <v>1747</v>
      </c>
      <c r="G100" s="27">
        <v>6749</v>
      </c>
    </row>
    <row r="101" spans="1:7" x14ac:dyDescent="0.3">
      <c r="A101" s="29" t="s">
        <v>16</v>
      </c>
      <c r="B101" s="27">
        <v>1438</v>
      </c>
      <c r="C101" s="27">
        <v>1616</v>
      </c>
      <c r="D101" s="27">
        <v>866</v>
      </c>
      <c r="E101" s="27">
        <v>829</v>
      </c>
      <c r="F101" s="27">
        <v>2070</v>
      </c>
      <c r="G101" s="27">
        <v>6819</v>
      </c>
    </row>
    <row r="102" spans="1:7" x14ac:dyDescent="0.3">
      <c r="A102" s="26" t="s">
        <v>1001</v>
      </c>
      <c r="B102" s="27">
        <v>7024</v>
      </c>
      <c r="C102" s="27">
        <v>7030</v>
      </c>
      <c r="D102" s="27">
        <v>8482</v>
      </c>
      <c r="E102" s="27">
        <v>7379</v>
      </c>
      <c r="F102" s="27">
        <v>7934</v>
      </c>
      <c r="G102" s="27">
        <v>37849</v>
      </c>
    </row>
    <row r="103" spans="1:7" x14ac:dyDescent="0.3">
      <c r="A103" s="29" t="s">
        <v>24</v>
      </c>
      <c r="B103" s="27">
        <v>1233</v>
      </c>
      <c r="C103" s="27">
        <v>223</v>
      </c>
      <c r="D103" s="27">
        <v>1680</v>
      </c>
      <c r="E103" s="27">
        <v>990</v>
      </c>
      <c r="F103" s="27">
        <v>1508</v>
      </c>
      <c r="G103" s="27">
        <v>5634</v>
      </c>
    </row>
    <row r="104" spans="1:7" x14ac:dyDescent="0.3">
      <c r="A104" s="29" t="s">
        <v>15</v>
      </c>
      <c r="B104" s="27">
        <v>1598</v>
      </c>
      <c r="C104" s="27">
        <v>1907</v>
      </c>
      <c r="D104" s="27">
        <v>869</v>
      </c>
      <c r="E104" s="27">
        <v>1426</v>
      </c>
      <c r="F104" s="27">
        <v>1416</v>
      </c>
      <c r="G104" s="27">
        <v>7216</v>
      </c>
    </row>
    <row r="105" spans="1:7" x14ac:dyDescent="0.3">
      <c r="A105" s="29" t="s">
        <v>5</v>
      </c>
      <c r="B105" s="27">
        <v>900</v>
      </c>
      <c r="C105" s="27">
        <v>1016</v>
      </c>
      <c r="D105" s="27">
        <v>960</v>
      </c>
      <c r="E105" s="27">
        <v>940</v>
      </c>
      <c r="F105" s="27">
        <v>1193</v>
      </c>
      <c r="G105" s="27">
        <v>5009</v>
      </c>
    </row>
    <row r="106" spans="1:7" x14ac:dyDescent="0.3">
      <c r="A106" s="29" t="s">
        <v>18</v>
      </c>
      <c r="B106" s="27">
        <v>900</v>
      </c>
      <c r="C106" s="27">
        <v>1470</v>
      </c>
      <c r="D106" s="27">
        <v>1617</v>
      </c>
      <c r="E106" s="27">
        <v>1314</v>
      </c>
      <c r="F106" s="27">
        <v>941</v>
      </c>
      <c r="G106" s="27">
        <v>6242</v>
      </c>
    </row>
    <row r="107" spans="1:7" x14ac:dyDescent="0.3">
      <c r="A107" s="29" t="s">
        <v>14</v>
      </c>
      <c r="B107" s="27">
        <v>1255</v>
      </c>
      <c r="C107" s="27">
        <v>516</v>
      </c>
      <c r="D107" s="27">
        <v>1874</v>
      </c>
      <c r="E107" s="27">
        <v>1863</v>
      </c>
      <c r="F107" s="27">
        <v>1722</v>
      </c>
      <c r="G107" s="27">
        <v>7230</v>
      </c>
    </row>
    <row r="108" spans="1:7" x14ac:dyDescent="0.3">
      <c r="A108" s="29" t="s">
        <v>19</v>
      </c>
      <c r="B108" s="27">
        <v>1138</v>
      </c>
      <c r="C108" s="27">
        <v>1898</v>
      </c>
      <c r="D108" s="27">
        <v>1482</v>
      </c>
      <c r="E108" s="27">
        <v>846</v>
      </c>
      <c r="F108" s="27">
        <v>1154</v>
      </c>
      <c r="G108" s="27">
        <v>6518</v>
      </c>
    </row>
    <row r="109" spans="1:7" x14ac:dyDescent="0.3">
      <c r="A109" s="26" t="s">
        <v>1000</v>
      </c>
      <c r="B109" s="27">
        <v>5908</v>
      </c>
      <c r="C109" s="27">
        <v>7537</v>
      </c>
      <c r="D109" s="27">
        <v>7420</v>
      </c>
      <c r="E109" s="27">
        <v>5777</v>
      </c>
      <c r="F109" s="27">
        <v>6071</v>
      </c>
      <c r="G109" s="27">
        <v>32713</v>
      </c>
    </row>
    <row r="110" spans="1:7" x14ac:dyDescent="0.3">
      <c r="A110" s="29" t="s">
        <v>17</v>
      </c>
      <c r="B110" s="27">
        <v>1655</v>
      </c>
      <c r="C110" s="27">
        <v>805</v>
      </c>
      <c r="D110" s="27">
        <v>2263</v>
      </c>
      <c r="E110" s="27">
        <v>987</v>
      </c>
      <c r="F110" s="27">
        <v>1075</v>
      </c>
      <c r="G110" s="27">
        <v>6785</v>
      </c>
    </row>
    <row r="111" spans="1:7" x14ac:dyDescent="0.3">
      <c r="A111" s="29" t="s">
        <v>23</v>
      </c>
      <c r="B111" s="27">
        <v>1104</v>
      </c>
      <c r="C111" s="27">
        <v>2280</v>
      </c>
      <c r="D111" s="27">
        <v>1445</v>
      </c>
      <c r="E111" s="27">
        <v>1722</v>
      </c>
      <c r="F111" s="27">
        <v>1196</v>
      </c>
      <c r="G111" s="27">
        <v>7747</v>
      </c>
    </row>
    <row r="112" spans="1:7" x14ac:dyDescent="0.3">
      <c r="A112" s="29" t="s">
        <v>7</v>
      </c>
      <c r="B112" s="27">
        <v>372</v>
      </c>
      <c r="C112" s="27">
        <v>1818</v>
      </c>
      <c r="D112" s="27">
        <v>1346</v>
      </c>
      <c r="E112" s="27">
        <v>1156</v>
      </c>
      <c r="F112" s="27">
        <v>1484</v>
      </c>
      <c r="G112" s="27">
        <v>6176</v>
      </c>
    </row>
    <row r="113" spans="1:7" x14ac:dyDescent="0.3">
      <c r="A113" s="29" t="s">
        <v>22</v>
      </c>
      <c r="B113" s="27">
        <v>1415</v>
      </c>
      <c r="C113" s="27">
        <v>1271</v>
      </c>
      <c r="D113" s="27">
        <v>1214</v>
      </c>
      <c r="E113" s="27">
        <v>1135</v>
      </c>
      <c r="F113" s="27">
        <v>1566</v>
      </c>
      <c r="G113" s="27">
        <v>6601</v>
      </c>
    </row>
    <row r="114" spans="1:7" x14ac:dyDescent="0.3">
      <c r="A114" s="29" t="s">
        <v>21</v>
      </c>
      <c r="B114" s="27">
        <v>1362</v>
      </c>
      <c r="C114" s="27">
        <v>1363</v>
      </c>
      <c r="D114" s="27">
        <v>1152</v>
      </c>
      <c r="E114" s="27">
        <v>777</v>
      </c>
      <c r="F114" s="27">
        <v>750</v>
      </c>
      <c r="G114" s="27">
        <v>5404</v>
      </c>
    </row>
    <row r="115" spans="1:7" x14ac:dyDescent="0.3">
      <c r="B115"/>
    </row>
    <row r="116" spans="1:7" x14ac:dyDescent="0.3">
      <c r="B116"/>
    </row>
    <row r="117" spans="1:7" x14ac:dyDescent="0.3">
      <c r="B117"/>
    </row>
    <row r="118" spans="1:7" x14ac:dyDescent="0.3">
      <c r="B118"/>
    </row>
    <row r="119" spans="1:7" x14ac:dyDescent="0.3">
      <c r="B119"/>
    </row>
    <row r="120" spans="1:7" x14ac:dyDescent="0.3">
      <c r="B120"/>
    </row>
    <row r="121" spans="1:7" x14ac:dyDescent="0.3">
      <c r="B121"/>
    </row>
    <row r="122" spans="1:7" x14ac:dyDescent="0.3">
      <c r="B122"/>
    </row>
    <row r="123" spans="1:7" x14ac:dyDescent="0.3">
      <c r="B123"/>
    </row>
    <row r="124" spans="1:7" x14ac:dyDescent="0.3">
      <c r="B124"/>
    </row>
    <row r="125" spans="1:7" x14ac:dyDescent="0.3">
      <c r="B125"/>
    </row>
    <row r="126" spans="1:7" x14ac:dyDescent="0.3">
      <c r="B126"/>
    </row>
    <row r="127" spans="1:7" x14ac:dyDescent="0.3">
      <c r="B127"/>
    </row>
    <row r="128" spans="1:7"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5" zoomScale="89" zoomScaleNormal="115" workbookViewId="0">
      <selection activeCell="R3" sqref="R3"/>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296875" customWidth="1"/>
    <col min="8" max="8" width="18.3984375" customWidth="1"/>
    <col min="9" max="9" width="17.296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ED722-B716-47AD-8D8D-EA88B6825523}">
  <dimension ref="K18:T38"/>
  <sheetViews>
    <sheetView tabSelected="1" zoomScale="71" zoomScaleNormal="71" workbookViewId="0">
      <selection activeCell="X14" sqref="X14"/>
    </sheetView>
  </sheetViews>
  <sheetFormatPr defaultRowHeight="14.4" x14ac:dyDescent="0.3"/>
  <cols>
    <col min="1" max="9" width="8.796875" style="24"/>
    <col min="10" max="10" width="6.59765625" style="24" customWidth="1"/>
    <col min="11" max="11" width="7.296875" style="24" customWidth="1"/>
    <col min="12" max="12" width="6.09765625" style="24" customWidth="1"/>
    <col min="13" max="13" width="5.3984375" style="24" customWidth="1"/>
    <col min="14" max="14" width="11.296875" style="24" customWidth="1"/>
    <col min="15" max="16" width="10.09765625" style="24" customWidth="1"/>
    <col min="17" max="17" width="10.296875" style="24" customWidth="1"/>
    <col min="18" max="18" width="10.19921875" style="24" customWidth="1"/>
    <col min="19" max="19" width="10" style="24" customWidth="1"/>
    <col min="20" max="16384" width="8.796875" style="24"/>
  </cols>
  <sheetData>
    <row r="18" spans="13:20" x14ac:dyDescent="0.3">
      <c r="M18" s="30"/>
      <c r="N18" s="30"/>
      <c r="O18" s="30"/>
      <c r="P18" s="30"/>
      <c r="Q18" s="30"/>
      <c r="R18" s="30"/>
      <c r="S18" s="30"/>
    </row>
    <row r="19" spans="13:20" x14ac:dyDescent="0.3">
      <c r="N19" s="32"/>
      <c r="O19" s="33" t="str" cm="1">
        <f t="array" ref="O19:S19">pivots!B96:F96</f>
        <v>R01</v>
      </c>
      <c r="P19" s="33" t="str">
        <v>R02</v>
      </c>
      <c r="Q19" s="33" t="str">
        <v>R03</v>
      </c>
      <c r="R19" s="33" t="str">
        <v>R04</v>
      </c>
      <c r="S19" s="33" t="str">
        <v>R05</v>
      </c>
      <c r="T19" s="34" t="s">
        <v>1077</v>
      </c>
    </row>
    <row r="20" spans="13:20" x14ac:dyDescent="0.3">
      <c r="N20" s="42" t="str" cm="1">
        <f t="array" ref="N20:T37">IF(pivots!A97:G114="","",pivots!A97:G114)</f>
        <v>Cincinnati</v>
      </c>
      <c r="O20" s="35">
        <v>5483</v>
      </c>
      <c r="P20" s="35">
        <v>6014</v>
      </c>
      <c r="Q20" s="35">
        <v>4970</v>
      </c>
      <c r="R20" s="35">
        <v>3495</v>
      </c>
      <c r="S20" s="35">
        <v>6099</v>
      </c>
      <c r="T20" s="36">
        <v>26061</v>
      </c>
    </row>
    <row r="21" spans="13:20" x14ac:dyDescent="0.3">
      <c r="N21" s="37" t="str">
        <v>C0003</v>
      </c>
      <c r="O21" s="38">
        <v>891</v>
      </c>
      <c r="P21" s="38">
        <v>1332</v>
      </c>
      <c r="Q21" s="38">
        <v>1282</v>
      </c>
      <c r="R21" s="38">
        <v>739</v>
      </c>
      <c r="S21" s="38">
        <v>560</v>
      </c>
      <c r="T21" s="36">
        <v>4804</v>
      </c>
    </row>
    <row r="22" spans="13:20" x14ac:dyDescent="0.3">
      <c r="N22" s="37" t="str">
        <v>C0004</v>
      </c>
      <c r="O22" s="38">
        <v>1991</v>
      </c>
      <c r="P22" s="38">
        <v>1886</v>
      </c>
      <c r="Q22" s="38">
        <v>1206</v>
      </c>
      <c r="R22" s="38">
        <v>884</v>
      </c>
      <c r="S22" s="38">
        <v>1722</v>
      </c>
      <c r="T22" s="36">
        <v>7689</v>
      </c>
    </row>
    <row r="23" spans="13:20" x14ac:dyDescent="0.3">
      <c r="N23" s="37" t="str">
        <v>C0011</v>
      </c>
      <c r="O23" s="38">
        <v>1163</v>
      </c>
      <c r="P23" s="38">
        <v>1180</v>
      </c>
      <c r="Q23" s="38">
        <v>1616</v>
      </c>
      <c r="R23" s="38">
        <v>1043</v>
      </c>
      <c r="S23" s="38">
        <v>1747</v>
      </c>
      <c r="T23" s="36">
        <v>6749</v>
      </c>
    </row>
    <row r="24" spans="13:20" x14ac:dyDescent="0.3">
      <c r="N24" s="37" t="str">
        <v>C0012</v>
      </c>
      <c r="O24" s="38">
        <v>1438</v>
      </c>
      <c r="P24" s="38">
        <v>1616</v>
      </c>
      <c r="Q24" s="38">
        <v>866</v>
      </c>
      <c r="R24" s="38">
        <v>829</v>
      </c>
      <c r="S24" s="38">
        <v>2070</v>
      </c>
      <c r="T24" s="36">
        <v>6819</v>
      </c>
    </row>
    <row r="25" spans="13:20" x14ac:dyDescent="0.3">
      <c r="N25" s="43" t="str">
        <v>Cleveland</v>
      </c>
      <c r="O25" s="38">
        <v>7024</v>
      </c>
      <c r="P25" s="38">
        <v>7030</v>
      </c>
      <c r="Q25" s="38">
        <v>8482</v>
      </c>
      <c r="R25" s="38">
        <v>7379</v>
      </c>
      <c r="S25" s="38">
        <v>7934</v>
      </c>
      <c r="T25" s="36">
        <v>37849</v>
      </c>
    </row>
    <row r="26" spans="13:20" x14ac:dyDescent="0.3">
      <c r="N26" s="37" t="str">
        <v>C0002</v>
      </c>
      <c r="O26" s="38">
        <v>1233</v>
      </c>
      <c r="P26" s="38">
        <v>223</v>
      </c>
      <c r="Q26" s="38">
        <v>1680</v>
      </c>
      <c r="R26" s="38">
        <v>990</v>
      </c>
      <c r="S26" s="38">
        <v>1508</v>
      </c>
      <c r="T26" s="36">
        <v>5634</v>
      </c>
    </row>
    <row r="27" spans="13:20" x14ac:dyDescent="0.3">
      <c r="N27" s="37" t="str">
        <v>C0007</v>
      </c>
      <c r="O27" s="38">
        <v>1598</v>
      </c>
      <c r="P27" s="38">
        <v>1907</v>
      </c>
      <c r="Q27" s="38">
        <v>869</v>
      </c>
      <c r="R27" s="38">
        <v>1426</v>
      </c>
      <c r="S27" s="38">
        <v>1416</v>
      </c>
      <c r="T27" s="36">
        <v>7216</v>
      </c>
    </row>
    <row r="28" spans="13:20" x14ac:dyDescent="0.3">
      <c r="N28" s="37" t="str">
        <v>C0008</v>
      </c>
      <c r="O28" s="38">
        <v>900</v>
      </c>
      <c r="P28" s="38">
        <v>1016</v>
      </c>
      <c r="Q28" s="38">
        <v>960</v>
      </c>
      <c r="R28" s="38">
        <v>940</v>
      </c>
      <c r="S28" s="38">
        <v>1193</v>
      </c>
      <c r="T28" s="36">
        <v>5009</v>
      </c>
    </row>
    <row r="29" spans="13:20" x14ac:dyDescent="0.3">
      <c r="N29" s="37" t="str">
        <v>C0010</v>
      </c>
      <c r="O29" s="38">
        <v>900</v>
      </c>
      <c r="P29" s="38">
        <v>1470</v>
      </c>
      <c r="Q29" s="38">
        <v>1617</v>
      </c>
      <c r="R29" s="38">
        <v>1314</v>
      </c>
      <c r="S29" s="38">
        <v>941</v>
      </c>
      <c r="T29" s="36">
        <v>6242</v>
      </c>
    </row>
    <row r="30" spans="13:20" x14ac:dyDescent="0.3">
      <c r="N30" s="37" t="str">
        <v>C0013</v>
      </c>
      <c r="O30" s="38">
        <v>1255</v>
      </c>
      <c r="P30" s="38">
        <v>516</v>
      </c>
      <c r="Q30" s="38">
        <v>1874</v>
      </c>
      <c r="R30" s="38">
        <v>1863</v>
      </c>
      <c r="S30" s="38">
        <v>1722</v>
      </c>
      <c r="T30" s="36">
        <v>7230</v>
      </c>
    </row>
    <row r="31" spans="13:20" x14ac:dyDescent="0.3">
      <c r="N31" s="37" t="str">
        <v>C0015</v>
      </c>
      <c r="O31" s="38">
        <v>1138</v>
      </c>
      <c r="P31" s="38">
        <v>1898</v>
      </c>
      <c r="Q31" s="38">
        <v>1482</v>
      </c>
      <c r="R31" s="38">
        <v>846</v>
      </c>
      <c r="S31" s="38">
        <v>1154</v>
      </c>
      <c r="T31" s="36">
        <v>6518</v>
      </c>
    </row>
    <row r="32" spans="13:20" x14ac:dyDescent="0.3">
      <c r="N32" s="37" t="str">
        <v>Columbus</v>
      </c>
      <c r="O32" s="38">
        <v>5908</v>
      </c>
      <c r="P32" s="38">
        <v>7537</v>
      </c>
      <c r="Q32" s="38">
        <v>7420</v>
      </c>
      <c r="R32" s="38">
        <v>5777</v>
      </c>
      <c r="S32" s="38">
        <v>6071</v>
      </c>
      <c r="T32" s="36">
        <v>32713</v>
      </c>
    </row>
    <row r="33" spans="11:20" x14ac:dyDescent="0.3">
      <c r="K33" s="46" t="str">
        <f>pivots!H84</f>
        <v>%of calls:19%</v>
      </c>
      <c r="L33" s="47"/>
      <c r="N33" s="43" t="str">
        <v>C0001</v>
      </c>
      <c r="O33" s="38">
        <v>1655</v>
      </c>
      <c r="P33" s="38">
        <v>805</v>
      </c>
      <c r="Q33" s="38">
        <v>2263</v>
      </c>
      <c r="R33" s="38">
        <v>987</v>
      </c>
      <c r="S33" s="38">
        <v>1075</v>
      </c>
      <c r="T33" s="36">
        <v>6785</v>
      </c>
    </row>
    <row r="34" spans="11:20" x14ac:dyDescent="0.3">
      <c r="K34" s="48" t="str">
        <f>pivots!H85</f>
        <v>call rank:5</v>
      </c>
      <c r="L34" s="49"/>
      <c r="N34" s="37" t="str">
        <v>C0005</v>
      </c>
      <c r="O34" s="38">
        <v>1104</v>
      </c>
      <c r="P34" s="38">
        <v>2280</v>
      </c>
      <c r="Q34" s="38">
        <v>1445</v>
      </c>
      <c r="R34" s="38">
        <v>1722</v>
      </c>
      <c r="S34" s="38">
        <v>1196</v>
      </c>
      <c r="T34" s="36">
        <v>7747</v>
      </c>
    </row>
    <row r="35" spans="11:20" x14ac:dyDescent="0.3">
      <c r="K35" s="48" t="str">
        <f>pivots!H86</f>
        <v>Amount rank:5</v>
      </c>
      <c r="L35" s="49"/>
      <c r="N35" s="37" t="str">
        <v>C0006</v>
      </c>
      <c r="O35" s="38">
        <v>372</v>
      </c>
      <c r="P35" s="38">
        <v>1818</v>
      </c>
      <c r="Q35" s="38">
        <v>1346</v>
      </c>
      <c r="R35" s="38">
        <v>1156</v>
      </c>
      <c r="S35" s="38">
        <v>1484</v>
      </c>
      <c r="T35" s="36">
        <v>6176</v>
      </c>
    </row>
    <row r="36" spans="11:20" x14ac:dyDescent="0.3">
      <c r="K36" s="44"/>
      <c r="L36" s="45"/>
      <c r="N36" s="37" t="str">
        <v>C0009</v>
      </c>
      <c r="O36" s="38">
        <v>1415</v>
      </c>
      <c r="P36" s="38">
        <v>1271</v>
      </c>
      <c r="Q36" s="38">
        <v>1214</v>
      </c>
      <c r="R36" s="38">
        <v>1135</v>
      </c>
      <c r="S36" s="38">
        <v>1566</v>
      </c>
      <c r="T36" s="36">
        <v>6601</v>
      </c>
    </row>
    <row r="37" spans="11:20" x14ac:dyDescent="0.3">
      <c r="N37" s="37" t="str">
        <v>C0014</v>
      </c>
      <c r="O37" s="38">
        <v>1362</v>
      </c>
      <c r="P37" s="38">
        <v>1363</v>
      </c>
      <c r="Q37" s="38">
        <v>1152</v>
      </c>
      <c r="R37" s="38">
        <v>777</v>
      </c>
      <c r="S37" s="38">
        <v>750</v>
      </c>
      <c r="T37" s="36">
        <v>5404</v>
      </c>
    </row>
    <row r="38" spans="11:20" x14ac:dyDescent="0.3">
      <c r="N38" s="39"/>
      <c r="O38" s="40"/>
      <c r="P38" s="40"/>
      <c r="Q38" s="40"/>
      <c r="R38" s="40"/>
      <c r="S38" s="40"/>
      <c r="T38" s="41"/>
    </row>
  </sheetData>
  <mergeCells count="3">
    <mergeCell ref="K33:L33"/>
    <mergeCell ref="K34:L34"/>
    <mergeCell ref="K35:L35"/>
  </mergeCells>
  <conditionalFormatting sqref="O20:S38">
    <cfRule type="dataBar" priority="2">
      <dataBar>
        <cfvo type="num" val="0"/>
        <cfvo type="formula" val="MAX($O$20:$S$38)*2"/>
        <color theme="9" tint="0.39997558519241921"/>
      </dataBar>
      <extLst>
        <ext xmlns:x14="http://schemas.microsoft.com/office/spreadsheetml/2009/9/main" uri="{B025F937-C7B1-47D3-B67F-A62EFF666E3E}">
          <x14:id>{94FA772D-7807-4C08-952E-7B5F57E35E3B}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2FBDC465-DE06-4D98-A466-77A1C33EBEBA}">
            <xm:f>O$19=pivots!$A$75</xm:f>
            <x14:dxf>
              <fill>
                <patternFill>
                  <bgColor theme="8" tint="0.39994506668294322"/>
                </patternFill>
              </fill>
              <border>
                <left style="thin">
                  <color theme="1" tint="0.24994659260841701"/>
                </left>
                <right style="thin">
                  <color theme="1" tint="0.24994659260841701"/>
                </right>
                <vertical/>
                <horizontal/>
              </border>
            </x14:dxf>
          </x14:cfRule>
          <xm:sqref>O19:S38</xm:sqref>
        </x14:conditionalFormatting>
        <x14:conditionalFormatting xmlns:xm="http://schemas.microsoft.com/office/excel/2006/main">
          <x14:cfRule type="dataBar" id="{94FA772D-7807-4C08-952E-7B5F57E35E3B}">
            <x14:dataBar minLength="0" maxLength="100" gradient="0">
              <x14:cfvo type="num">
                <xm:f>0</xm:f>
              </x14:cfvo>
              <x14:cfvo type="formula">
                <xm:f>MAX($O$20:$S$38)*2</xm:f>
              </x14:cfvo>
              <x14:negativeFillColor rgb="FFFF0000"/>
              <x14:axisColor rgb="FF000000"/>
            </x14:dataBar>
          </x14:cfRule>
          <xm:sqref>O20:S38</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74" zoomScaleNormal="115" workbookViewId="0">
      <selection activeCell="I6" sqref="I6"/>
    </sheetView>
  </sheetViews>
  <sheetFormatPr defaultRowHeight="14.4" x14ac:dyDescent="0.3"/>
  <cols>
    <col min="5" max="5" width="15.296875" customWidth="1"/>
    <col min="6" max="6" width="16.5976562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Gadupudi Krishnapriya</cp:lastModifiedBy>
  <dcterms:created xsi:type="dcterms:W3CDTF">2021-03-14T20:21:32Z</dcterms:created>
  <dcterms:modified xsi:type="dcterms:W3CDTF">2025-04-14T16:22:57Z</dcterms:modified>
</cp:coreProperties>
</file>